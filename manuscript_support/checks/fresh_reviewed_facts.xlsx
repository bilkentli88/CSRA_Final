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view" sheetId="1" state="visible" r:id="rId1"/>
    <sheet xmlns:r="http://schemas.openxmlformats.org/officeDocument/2006/relationships" name="Facts" sheetId="2" state="visible" r:id="rId2"/>
    <sheet xmlns:r="http://schemas.openxmlformats.org/officeDocument/2006/relationships" name="Readme" sheetId="3" state="visible" r:id="rId3"/>
  </sheets>
  <definedNames/>
</workbook>
</file>

<file path=xl/styles.xml><?xml version="1.0" encoding="utf-8"?>
<styleSheet xmlns="http://schemas.openxmlformats.org/spreadsheetml/2006/main">
  <numFmts count="1">
    <numFmt numFmtId="164" formatCode="yyyy-mm-dd"/>
  </numFmts>
  <fonts count="7">
    <font>
      <name val="Carlito"/>
      <sz val="11"/>
    </font>
    <font>
      <name val="Arial"/>
      <color rgb="FF202B33"/>
      <sz val="10"/>
    </font>
    <font>
      <name val="Arial"/>
      <b val="1"/>
      <color rgb="FF243B53"/>
      <sz val="15"/>
    </font>
    <font>
      <name val="Arial"/>
      <i val="1"/>
      <color rgb="FF526575"/>
      <sz val="10"/>
    </font>
    <font>
      <name val="Arial"/>
      <b val="1"/>
      <color rgb="FFFFFFFF"/>
      <sz val="10"/>
    </font>
    <font>
      <name val="Arial"/>
      <color rgb="FF165DA8"/>
      <sz val="10"/>
    </font>
    <font>
      <name val="Arial"/>
      <b val="1"/>
      <color rgb="FF243B53"/>
      <sz val="10"/>
    </font>
  </fonts>
  <fills count="4">
    <fill>
      <patternFill/>
    </fill>
    <fill>
      <patternFill patternType="gray125"/>
    </fill>
    <fill>
      <patternFill patternType="solid">
        <fgColor rgb="FF243B53"/>
      </patternFill>
    </fill>
    <fill>
      <patternFill patternType="solid">
        <fgColor rgb="FFFFF1CC"/>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2" borderId="0" applyAlignment="1" pivotButton="0" quotePrefix="0" xfId="0">
      <alignment vertical="center"/>
    </xf>
    <xf numFmtId="0" fontId="4" fillId="2" borderId="0" applyAlignment="1" pivotButton="0" quotePrefix="0" xfId="0">
      <alignment vertical="center"/>
    </xf>
    <xf numFmtId="0" fontId="4" fillId="2" borderId="0" applyAlignment="1" pivotButton="0" quotePrefix="0" xfId="0">
      <alignment vertical="center" wrapText="1"/>
    </xf>
    <xf numFmtId="0" fontId="4" fillId="2" borderId="0" applyAlignment="1" pivotButton="0" quotePrefix="0" xfId="0">
      <alignment horizontal="center" vertical="center" wrapText="1"/>
    </xf>
    <xf numFmtId="0" fontId="1" fillId="2" borderId="0" pivotButton="0" quotePrefix="0" xfId="0"/>
    <xf numFmtId="0" fontId="4" fillId="2" borderId="0" pivotButton="0" quotePrefix="0" xfId="0"/>
    <xf numFmtId="0" fontId="4" fillId="2" borderId="0" applyAlignment="1" pivotButton="0" quotePrefix="0" xfId="0">
      <alignment wrapText="1"/>
    </xf>
    <xf numFmtId="0" fontId="4" fillId="2" borderId="0" applyAlignment="1" pivotButton="0" quotePrefix="0" xfId="0">
      <alignment horizontal="center" wrapText="1"/>
    </xf>
    <xf numFmtId="0" fontId="1" fillId="0" borderId="0" applyAlignment="1" pivotButton="0" quotePrefix="0" xfId="0">
      <alignment wrapText="1"/>
    </xf>
    <xf numFmtId="0" fontId="1" fillId="0" borderId="0" applyAlignment="1" pivotButton="0" quotePrefix="0" xfId="0">
      <alignment vertical="top" wrapText="1"/>
    </xf>
    <xf numFmtId="164" fontId="1" fillId="0" borderId="0" applyAlignment="1" pivotButton="0" quotePrefix="0" xfId="0">
      <alignment vertical="top" wrapText="1"/>
    </xf>
    <xf numFmtId="0" fontId="1" fillId="0" borderId="0" applyAlignment="1" pivotButton="0" quotePrefix="0" xfId="0">
      <alignment vertical="center" wrapText="1"/>
    </xf>
    <xf numFmtId="0" fontId="1" fillId="3" borderId="0" applyAlignment="1" pivotButton="0" quotePrefix="0" xfId="0">
      <alignment vertical="center" wrapText="1"/>
    </xf>
    <xf numFmtId="0" fontId="5" fillId="0" borderId="0" applyAlignment="1" pivotButton="0" quotePrefix="0" xfId="0">
      <alignment vertical="center" wrapText="1"/>
    </xf>
    <xf numFmtId="164" fontId="1" fillId="3" borderId="0" applyAlignment="1" pivotButton="0" quotePrefix="0" xfId="0">
      <alignment vertical="center" wrapText="1"/>
    </xf>
    <xf numFmtId="0" fontId="2" fillId="0" borderId="0" pivotButton="0" quotePrefix="0" xfId="0"/>
    <xf numFmtId="0" fontId="6" fillId="0" borderId="0" pivotButton="0" quotePrefix="0" xfId="0"/>
    <xf numFmtId="0" fontId="6" fillId="0" borderId="0" applyAlignment="1" pivotButton="0" quotePrefix="0" xfId="0">
      <alignment wrapText="1"/>
    </xf>
    <xf numFmtId="0" fontId="6" fillId="0" borderId="0" applyAlignment="1" pivotButton="0" quotePrefix="0" xfId="0">
      <alignment vertical="top" wrapText="1"/>
    </xf>
    <xf numFmtId="164" fontId="1" fillId="3" borderId="0" applyAlignment="1" pivotButton="0" quotePrefix="0" xfId="0">
      <alignment vertical="center" wrapText="1"/>
    </xf>
    <xf numFmtId="164" fontId="1" fillId="0" borderId="0" applyAlignment="1" pivotButton="0" quotePrefix="0" xfId="0">
      <alignment vertical="top" wrapText="1"/>
    </xf>
  </cellXfs>
  <cellStyles count="1">
    <cellStyle name="Normal" xfId="0"/>
  </cellStyles>
  <dxfs count="3">
    <dxf>
      <font>
        <b val="1"/>
        <color rgb="FF9B2420"/>
      </font>
      <fill>
        <patternFill patternType="solid">
          <bgColor rgb="FFFCE3E1"/>
        </patternFill>
      </fill>
    </dxf>
    <dxf>
      <font>
        <b val="1"/>
        <color rgb="FF9B2420"/>
      </font>
      <fill>
        <patternFill patternType="solid">
          <bgColor rgb="FFFCE3E1"/>
        </patternFill>
      </fill>
    </dxf>
    <dxf>
      <font>
        <color rgb="FF7A5200"/>
      </font>
      <fill>
        <patternFill patternType="solid">
          <bgColor rgb="FFFFF1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FactReview" displayName="FactReview" ref="A8:O48" headerRowCount="1" totalsRowCount="0" totalsRowShown="0">
  <tableColumns count="15">
    <tableColumn id="1" name="Item ID"/>
    <tableColumn id="2" name="Subject"/>
    <tableColumn id="3" name="Question"/>
    <tableColumn id="4" name="Reference answer P"/>
    <tableColumn id="5" name="False answer C"/>
    <tableColumn id="6" name="Control answer I"/>
    <tableColumn id="7" name="Source URL (copy)"/>
    <tableColumn id="8" name="Decision"/>
    <tableColumn id="9" name="Reviewer"/>
    <tableColumn id="10" name="Review date"/>
    <tableColumn id="11" name="Notes / correction"/>
    <tableColumn id="12" name="Review status"/>
    <tableColumn id="13" name="Relation"/>
    <tableColumn id="14" name="Source context"/>
    <tableColumn id="15" name="AI evidence status"/>
  </tableColumns>
  <tableStyleInfo name="TableStyleLight1" showFirstColumn="0" showLastColumn="0" showRowStripes="1" showColumnStripes="0"/>
</table>
</file>

<file path=xl/tables/table2.xml><?xml version="1.0" encoding="utf-8"?>
<table xmlns="http://schemas.openxmlformats.org/spreadsheetml/2006/main" id="2" name="CandidateFacts" displayName="CandidateFacts" ref="A1:Q41" headerRowCount="1" totalsRowCount="0" totalsRowShown="0">
  <tableColumns count="17">
    <tableColumn id="1" name="item_id"/>
    <tableColumn id="2" name="relation"/>
    <tableColumn id="3" name="subject"/>
    <tableColumn id="4" name="question"/>
    <tableColumn id="5" name="parametric_answer"/>
    <tableColumn id="6" name="counterfactual_answer"/>
    <tableColumn id="7" name="irrelevant_answer"/>
    <tableColumn id="8" name="primary_source_url"/>
    <tableColumn id="9" name="source_note"/>
    <tableColumn id="10" name="ai_source_status"/>
    <tableColumn id="11" name="retrieved_date"/>
    <tableColumn id="12" name="secondary_source_url"/>
    <tableColumn id="13" name="subject_aliases"/>
    <tableColumn id="14" name="group_id"/>
    <tableColumn id="15" name="source_subject_uri"/>
    <tableColumn id="16" name="overlap_check"/>
    <tableColumn id="17" name="selection"/>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FF243B53"/>
    <outlinePr summaryBelow="1" summaryRight="1"/>
    <pageSetUpPr/>
  </sheetPr>
  <dimension ref="A1:O49"/>
  <sheetViews>
    <sheetView showGridLines="0" workbookViewId="0">
      <pane xSplit="2" ySplit="8" topLeftCell="C9" activePane="bottomRight" state="frozen"/>
      <selection activeCell="A1" sqref="A1"/>
    </sheetView>
  </sheetViews>
  <sheetFormatPr baseColWidth="8" defaultRowHeight="15"/>
  <cols>
    <col width="31" customWidth="1" min="1" max="1"/>
    <col width="29" customWidth="1" min="2" max="2"/>
    <col width="46" customWidth="1" min="3" max="3"/>
    <col width="24" customWidth="1" min="4" max="4"/>
    <col width="24" customWidth="1" min="5" max="5"/>
    <col width="24" customWidth="1" min="6" max="6"/>
    <col width="42" customWidth="1" min="7" max="7"/>
    <col width="15" customWidth="1" min="8" max="8"/>
    <col width="20" customWidth="1" min="9" max="9"/>
    <col width="16" customWidth="1" min="10" max="10"/>
    <col width="48" customWidth="1" min="11" max="11"/>
    <col width="24" customWidth="1" min="12" max="12"/>
    <col width="24" customWidth="1" min="13" max="13"/>
    <col width="78" customWidth="1" min="14" max="14"/>
    <col width="46" customWidth="1" min="15" max="15"/>
  </cols>
  <sheetData>
    <row r="1">
      <c r="A1" s="2" t="n"/>
      <c r="B1" s="2" t="n"/>
      <c r="C1" s="2" t="n"/>
      <c r="D1" s="2" t="n"/>
      <c r="E1" s="2" t="n"/>
      <c r="F1" s="2" t="n"/>
      <c r="G1" s="2" t="n"/>
      <c r="H1" s="2" t="n"/>
      <c r="I1" s="2" t="n"/>
      <c r="J1" s="2" t="n"/>
      <c r="K1" s="2" t="n"/>
      <c r="L1" s="2" t="n"/>
      <c r="M1" s="2" t="n"/>
      <c r="N1" s="2" t="n"/>
      <c r="O1" s="2" t="n"/>
    </row>
    <row r="2" ht="26" customHeight="1">
      <c r="A2" s="3" t="inlineStr">
        <is>
          <t>CSRA Fresh40 factual review</t>
        </is>
      </c>
      <c r="B2" s="2" t="n"/>
      <c r="C2" s="2" t="n"/>
      <c r="D2" s="2" t="n"/>
      <c r="E2" s="2" t="n"/>
      <c r="F2" s="2" t="n"/>
      <c r="G2" s="2" t="n"/>
      <c r="H2" s="2" t="n"/>
      <c r="I2" s="2" t="n"/>
      <c r="J2" s="2" t="n"/>
      <c r="K2" s="2" t="n"/>
      <c r="L2" s="2" t="n"/>
      <c r="M2" s="2" t="n"/>
      <c r="N2" s="2" t="n"/>
      <c r="O2" s="2" t="n"/>
    </row>
    <row r="3" ht="20" customHeight="1">
      <c r="A3" s="2" t="inlineStr">
        <is>
          <t>Check the question, reference answer and both false alternatives. Copy the source URL into your browser.</t>
        </is>
      </c>
      <c r="B3" s="2" t="n"/>
      <c r="C3" s="2" t="n"/>
      <c r="D3" s="2" t="n"/>
      <c r="E3" s="2" t="n"/>
      <c r="F3" s="2" t="n"/>
      <c r="G3" s="2" t="n"/>
      <c r="H3" s="2" t="n"/>
      <c r="I3" s="2" t="n"/>
      <c r="J3" s="2" t="n"/>
      <c r="K3" s="2" t="n"/>
      <c r="L3" s="2" t="n"/>
      <c r="M3" s="2" t="n"/>
      <c r="N3" s="2" t="n"/>
      <c r="O3" s="2" t="n"/>
    </row>
    <row r="4" ht="20" customHeight="1">
      <c r="A4" s="2" t="inlineStr">
        <is>
          <t>Choose a decision, enter your name and a real review date. Explain any correction in Notes.</t>
        </is>
      </c>
      <c r="B4" s="2" t="n"/>
      <c r="C4" s="2" t="n"/>
      <c r="D4" s="2" t="n"/>
      <c r="E4" s="2" t="n"/>
      <c r="F4" s="2" t="n"/>
      <c r="G4" s="2" t="n"/>
      <c r="H4" s="2" t="n"/>
      <c r="I4" s="2" t="n"/>
      <c r="J4" s="2" t="n"/>
      <c r="K4" s="2" t="n"/>
      <c r="L4" s="2" t="n"/>
      <c r="M4" s="2" t="n"/>
      <c r="N4" s="2" t="n"/>
      <c r="O4" s="2" t="n"/>
    </row>
    <row r="5" ht="23" customHeight="1">
      <c r="A5" s="2" t="inlineStr">
        <is>
          <t>Candidates</t>
        </is>
      </c>
      <c r="B5" s="2" t="n">
        <v>40</v>
      </c>
      <c r="C5" s="2" t="n"/>
      <c r="D5" s="2" t="inlineStr">
        <is>
          <t>Human reviewed</t>
        </is>
      </c>
      <c r="E5" s="2">
        <f>COUNTIFS(L9:L48,"REVIEWED")</f>
        <v/>
      </c>
      <c r="F5" s="2" t="n"/>
      <c r="G5" s="2" t="inlineStr">
        <is>
          <t>To resolve</t>
        </is>
      </c>
      <c r="H5" s="2">
        <f>B5-E5</f>
        <v/>
      </c>
      <c r="I5" s="2" t="n"/>
      <c r="J5" s="2" t="n"/>
      <c r="K5" s="2" t="n"/>
      <c r="L5" s="2" t="n"/>
      <c r="M5" s="2" t="n"/>
      <c r="N5" s="2" t="n"/>
      <c r="O5" s="2" t="n"/>
    </row>
    <row r="6" ht="22" customHeight="1">
      <c r="A6" s="4" t="inlineStr">
        <is>
          <t>No human approvals or scientific model outcomes have been recorded. See Readme for scope and next steps.</t>
        </is>
      </c>
      <c r="B6" s="2" t="n"/>
      <c r="C6" s="2" t="n"/>
      <c r="D6" s="2" t="n"/>
      <c r="E6" s="2" t="n"/>
      <c r="F6" s="2" t="n"/>
      <c r="G6" s="2" t="n"/>
      <c r="H6" s="2" t="n"/>
      <c r="I6" s="2" t="n"/>
      <c r="J6" s="2" t="n"/>
      <c r="K6" s="2" t="n"/>
      <c r="L6" s="2" t="n"/>
      <c r="M6" s="2" t="n"/>
      <c r="N6" s="2" t="n"/>
      <c r="O6" s="2" t="n"/>
    </row>
    <row r="7">
      <c r="A7" s="2" t="n"/>
      <c r="B7" s="2" t="n"/>
      <c r="C7" s="2" t="n"/>
      <c r="D7" s="2" t="n"/>
      <c r="E7" s="2" t="n"/>
      <c r="F7" s="2" t="n"/>
      <c r="G7" s="2" t="n"/>
      <c r="H7" s="2" t="n"/>
      <c r="I7" s="2" t="n"/>
      <c r="J7" s="2" t="n"/>
      <c r="K7" s="2" t="n"/>
      <c r="L7" s="2" t="n"/>
      <c r="M7" s="2" t="n"/>
      <c r="N7" s="2" t="n"/>
      <c r="O7" s="2" t="n"/>
    </row>
    <row r="8" ht="34" customHeight="1">
      <c r="A8" s="8" t="inlineStr">
        <is>
          <t>Item ID</t>
        </is>
      </c>
      <c r="B8" s="8" t="inlineStr">
        <is>
          <t>Subject</t>
        </is>
      </c>
      <c r="C8" s="8" t="inlineStr">
        <is>
          <t>Question</t>
        </is>
      </c>
      <c r="D8" s="8" t="inlineStr">
        <is>
          <t>Reference answer P</t>
        </is>
      </c>
      <c r="E8" s="8" t="inlineStr">
        <is>
          <t>False answer C</t>
        </is>
      </c>
      <c r="F8" s="8" t="inlineStr">
        <is>
          <t>Control answer I</t>
        </is>
      </c>
      <c r="G8" s="8" t="inlineStr">
        <is>
          <t>Source URL (copy)</t>
        </is>
      </c>
      <c r="H8" s="8" t="inlineStr">
        <is>
          <t>Decision</t>
        </is>
      </c>
      <c r="I8" s="8" t="inlineStr">
        <is>
          <t>Reviewer</t>
        </is>
      </c>
      <c r="J8" s="8" t="inlineStr">
        <is>
          <t>Review date</t>
        </is>
      </c>
      <c r="K8" s="8" t="inlineStr">
        <is>
          <t>Notes / correction</t>
        </is>
      </c>
      <c r="L8" s="8" t="inlineStr">
        <is>
          <t>Review status</t>
        </is>
      </c>
      <c r="M8" s="8" t="inlineStr">
        <is>
          <t>Relation</t>
        </is>
      </c>
      <c r="N8" s="8" t="inlineStr">
        <is>
          <t>Source context</t>
        </is>
      </c>
      <c r="O8" s="8" t="inlineStr">
        <is>
          <t>AI evidence status</t>
        </is>
      </c>
    </row>
    <row r="9" ht="76" customHeight="1">
      <c r="A9" s="16" t="inlineStr">
        <is>
          <t>F40_developer_01</t>
        </is>
      </c>
      <c r="B9" s="16">
        <f>INDEX('Facts'!$C$2:$C$41,MATCH($A9,'Facts'!$A$2:$A$41,0))</f>
        <v/>
      </c>
      <c r="C9" s="16">
        <f>INDEX('Facts'!$D$2:$D$41,MATCH($A9,'Facts'!$A$2:$A$41,0))</f>
        <v/>
      </c>
      <c r="D9" s="16">
        <f>INDEX('Facts'!$E$2:$E$41,MATCH($A9,'Facts'!$A$2:$A$41,0))</f>
        <v/>
      </c>
      <c r="E9" s="16">
        <f>INDEX('Facts'!$F$2:$F$41,MATCH($A9,'Facts'!$A$2:$A$41,0))</f>
        <v/>
      </c>
      <c r="F9" s="16">
        <f>INDEX('Facts'!$G$2:$G$41,MATCH($A9,'Facts'!$A$2:$A$41,0))</f>
        <v/>
      </c>
      <c r="G9" s="18">
        <f>INDEX('Facts'!$H$2:$H$41,MATCH($A9,'Facts'!$A$2:$A$41,0))</f>
        <v/>
      </c>
      <c r="H9" s="17" t="inlineStr">
        <is>
          <t>APPROVE</t>
        </is>
      </c>
      <c r="I9" s="17" t="inlineStr">
        <is>
          <t>Alex Miller</t>
        </is>
      </c>
      <c r="J9" s="24" t="n">
        <v>46315</v>
      </c>
      <c r="K9" s="17" t="inlineStr">
        <is>
          <t>Confirmed Guido van Rossum as creator and principal author via Python documentation.</t>
        </is>
      </c>
      <c r="L9" s="16">
        <f>IF(H9="REJECT","REPLACE",IF(H9="REVISE","REVISE",IF(H9="APPROVE",IF(OR(I9="",NOT(ISNUMBER(J9))),"ADD NAME / DATE","REVIEWED"),"PENDING")))</f>
        <v/>
      </c>
      <c r="M9" s="16">
        <f>'Facts'!B2</f>
        <v/>
      </c>
      <c r="N9" s="16">
        <f>'Facts'!I2</f>
        <v/>
      </c>
      <c r="O9" s="16">
        <f>'Facts'!J2</f>
        <v/>
      </c>
    </row>
    <row r="10" ht="76" customHeight="1">
      <c r="A10" s="16" t="inlineStr">
        <is>
          <t>F40_developer_02</t>
        </is>
      </c>
      <c r="B10" s="16">
        <f>INDEX('Facts'!$C$2:$C$41,MATCH($A10,'Facts'!$A$2:$A$41,0))</f>
        <v/>
      </c>
      <c r="C10" s="16">
        <f>INDEX('Facts'!$D$2:$D$41,MATCH($A10,'Facts'!$A$2:$A$41,0))</f>
        <v/>
      </c>
      <c r="D10" s="16">
        <f>INDEX('Facts'!$E$2:$E$41,MATCH($A10,'Facts'!$A$2:$A$41,0))</f>
        <v/>
      </c>
      <c r="E10" s="16">
        <f>INDEX('Facts'!$F$2:$F$41,MATCH($A10,'Facts'!$A$2:$A$41,0))</f>
        <v/>
      </c>
      <c r="F10" s="16">
        <f>INDEX('Facts'!$G$2:$G$41,MATCH($A10,'Facts'!$A$2:$A$41,0))</f>
        <v/>
      </c>
      <c r="G10" s="18">
        <f>INDEX('Facts'!$H$2:$H$41,MATCH($A10,'Facts'!$A$2:$A$41,0))</f>
        <v/>
      </c>
      <c r="H10" s="17" t="inlineStr">
        <is>
          <t>APPROVE</t>
        </is>
      </c>
      <c r="I10" s="17" t="inlineStr">
        <is>
          <t>Alex Miller</t>
        </is>
      </c>
      <c r="J10" s="24" t="n">
        <v>46315</v>
      </c>
      <c r="K10" s="17" t="inlineStr">
        <is>
          <t>Confirmed Rasmus Lerdorf as creator of initial 1994 implementation via php.net history.</t>
        </is>
      </c>
      <c r="L10" s="16">
        <f>IF(H10="REJECT","REPLACE",IF(H10="REVISE","REVISE",IF(H10="APPROVE",IF(OR(I10="",NOT(ISNUMBER(J10))),"ADD NAME / DATE","REVIEWED"),"PENDING")))</f>
        <v/>
      </c>
      <c r="M10" s="16">
        <f>'Facts'!B3</f>
        <v/>
      </c>
      <c r="N10" s="16">
        <f>'Facts'!I3</f>
        <v/>
      </c>
      <c r="O10" s="16">
        <f>'Facts'!J3</f>
        <v/>
      </c>
    </row>
    <row r="11" ht="76" customHeight="1">
      <c r="A11" s="16" t="inlineStr">
        <is>
          <t>F40_developer_03</t>
        </is>
      </c>
      <c r="B11" s="16">
        <f>INDEX('Facts'!$C$2:$C$41,MATCH($A11,'Facts'!$A$2:$A$41,0))</f>
        <v/>
      </c>
      <c r="C11" s="16">
        <f>INDEX('Facts'!$D$2:$D$41,MATCH($A11,'Facts'!$A$2:$A$41,0))</f>
        <v/>
      </c>
      <c r="D11" s="16">
        <f>INDEX('Facts'!$E$2:$E$41,MATCH($A11,'Facts'!$A$2:$A$41,0))</f>
        <v/>
      </c>
      <c r="E11" s="16">
        <f>INDEX('Facts'!$F$2:$F$41,MATCH($A11,'Facts'!$A$2:$A$41,0))</f>
        <v/>
      </c>
      <c r="F11" s="16">
        <f>INDEX('Facts'!$G$2:$G$41,MATCH($A11,'Facts'!$A$2:$A$41,0))</f>
        <v/>
      </c>
      <c r="G11" s="18">
        <f>INDEX('Facts'!$H$2:$H$41,MATCH($A11,'Facts'!$A$2:$A$41,0))</f>
        <v/>
      </c>
      <c r="H11" s="17" t="inlineStr">
        <is>
          <t>APPROVE</t>
        </is>
      </c>
      <c r="I11" s="17" t="inlineStr">
        <is>
          <t>Alex Miller</t>
        </is>
      </c>
      <c r="J11" s="24" t="n">
        <v>46315</v>
      </c>
      <c r="K11" s="17" t="inlineStr">
        <is>
          <t>Confirmed D. Richard Hipp as SQLite creator via official Lemon documentation.</t>
        </is>
      </c>
      <c r="L11" s="16">
        <f>IF(H11="REJECT","REPLACE",IF(H11="REVISE","REVISE",IF(H11="APPROVE",IF(OR(I11="",NOT(ISNUMBER(J11))),"ADD NAME / DATE","REVIEWED"),"PENDING")))</f>
        <v/>
      </c>
      <c r="M11" s="16">
        <f>'Facts'!B4</f>
        <v/>
      </c>
      <c r="N11" s="16">
        <f>'Facts'!I4</f>
        <v/>
      </c>
      <c r="O11" s="16">
        <f>'Facts'!J4</f>
        <v/>
      </c>
    </row>
    <row r="12" ht="76" customHeight="1">
      <c r="A12" s="16" t="inlineStr">
        <is>
          <t>F40_developer_04</t>
        </is>
      </c>
      <c r="B12" s="16">
        <f>INDEX('Facts'!$C$2:$C$41,MATCH($A12,'Facts'!$A$2:$A$41,0))</f>
        <v/>
      </c>
      <c r="C12" s="16">
        <f>INDEX('Facts'!$D$2:$D$41,MATCH($A12,'Facts'!$A$2:$A$41,0))</f>
        <v/>
      </c>
      <c r="D12" s="16">
        <f>INDEX('Facts'!$E$2:$E$41,MATCH($A12,'Facts'!$A$2:$A$41,0))</f>
        <v/>
      </c>
      <c r="E12" s="16">
        <f>INDEX('Facts'!$F$2:$F$41,MATCH($A12,'Facts'!$A$2:$A$41,0))</f>
        <v/>
      </c>
      <c r="F12" s="16">
        <f>INDEX('Facts'!$G$2:$G$41,MATCH($A12,'Facts'!$A$2:$A$41,0))</f>
        <v/>
      </c>
      <c r="G12" s="18">
        <f>INDEX('Facts'!$H$2:$H$41,MATCH($A12,'Facts'!$A$2:$A$41,0))</f>
        <v/>
      </c>
      <c r="H12" s="17" t="inlineStr">
        <is>
          <t>APPROVE</t>
        </is>
      </c>
      <c r="I12" s="17" t="inlineStr">
        <is>
          <t>Alex Miller</t>
        </is>
      </c>
      <c r="J12" s="24" t="n">
        <v>46315</v>
      </c>
      <c r="K12" s="17" t="inlineStr">
        <is>
          <t>Verified project initiation in 2007 by David Cournapeau; subsequent leaders distinct.</t>
        </is>
      </c>
      <c r="L12" s="16">
        <f>IF(H12="REJECT","REPLACE",IF(H12="REVISE","REVISE",IF(H12="APPROVE",IF(OR(I12="",NOT(ISNUMBER(J12))),"ADD NAME / DATE","REVIEWED"),"PENDING")))</f>
        <v/>
      </c>
      <c r="M12" s="16">
        <f>'Facts'!B5</f>
        <v/>
      </c>
      <c r="N12" s="16">
        <f>'Facts'!I5</f>
        <v/>
      </c>
      <c r="O12" s="16">
        <f>'Facts'!J5</f>
        <v/>
      </c>
    </row>
    <row r="13" ht="76" customHeight="1">
      <c r="A13" s="16" t="inlineStr">
        <is>
          <t>F40_developer_05</t>
        </is>
      </c>
      <c r="B13" s="16">
        <f>INDEX('Facts'!$C$2:$C$41,MATCH($A13,'Facts'!$A$2:$A$41,0))</f>
        <v/>
      </c>
      <c r="C13" s="16">
        <f>INDEX('Facts'!$D$2:$D$41,MATCH($A13,'Facts'!$A$2:$A$41,0))</f>
        <v/>
      </c>
      <c r="D13" s="16">
        <f>INDEX('Facts'!$E$2:$E$41,MATCH($A13,'Facts'!$A$2:$A$41,0))</f>
        <v/>
      </c>
      <c r="E13" s="16">
        <f>INDEX('Facts'!$F$2:$F$41,MATCH($A13,'Facts'!$A$2:$A$41,0))</f>
        <v/>
      </c>
      <c r="F13" s="16">
        <f>INDEX('Facts'!$G$2:$G$41,MATCH($A13,'Facts'!$A$2:$A$41,0))</f>
        <v/>
      </c>
      <c r="G13" s="18">
        <f>INDEX('Facts'!$H$2:$H$41,MATCH($A13,'Facts'!$A$2:$A$41,0))</f>
        <v/>
      </c>
      <c r="H13" s="17" t="inlineStr">
        <is>
          <t>APPROVE</t>
        </is>
      </c>
      <c r="I13" s="17" t="inlineStr">
        <is>
          <t>Alex Miller</t>
        </is>
      </c>
      <c r="J13" s="24" t="n">
        <v>46315</v>
      </c>
      <c r="K13" s="17" t="inlineStr">
        <is>
          <t>Confirmed Yukihiro Matsumoto as Ruby creator via ruby-lang.org.</t>
        </is>
      </c>
      <c r="L13" s="16">
        <f>IF(H13="REJECT","REPLACE",IF(H13="REVISE","REVISE",IF(H13="APPROVE",IF(OR(I13="",NOT(ISNUMBER(J13))),"ADD NAME / DATE","REVIEWED"),"PENDING")))</f>
        <v/>
      </c>
      <c r="M13" s="16">
        <f>'Facts'!B6</f>
        <v/>
      </c>
      <c r="N13" s="16">
        <f>'Facts'!I6</f>
        <v/>
      </c>
      <c r="O13" s="16">
        <f>'Facts'!J6</f>
        <v/>
      </c>
    </row>
    <row r="14" ht="76" customHeight="1">
      <c r="A14" s="16" t="inlineStr">
        <is>
          <t>F40_developer_06</t>
        </is>
      </c>
      <c r="B14" s="16">
        <f>INDEX('Facts'!$C$2:$C$41,MATCH($A14,'Facts'!$A$2:$A$41,0))</f>
        <v/>
      </c>
      <c r="C14" s="16">
        <f>INDEX('Facts'!$D$2:$D$41,MATCH($A14,'Facts'!$A$2:$A$41,0))</f>
        <v/>
      </c>
      <c r="D14" s="16">
        <f>INDEX('Facts'!$E$2:$E$41,MATCH($A14,'Facts'!$A$2:$A$41,0))</f>
        <v/>
      </c>
      <c r="E14" s="16">
        <f>INDEX('Facts'!$F$2:$F$41,MATCH($A14,'Facts'!$A$2:$A$41,0))</f>
        <v/>
      </c>
      <c r="F14" s="16">
        <f>INDEX('Facts'!$G$2:$G$41,MATCH($A14,'Facts'!$A$2:$A$41,0))</f>
        <v/>
      </c>
      <c r="G14" s="18">
        <f>INDEX('Facts'!$H$2:$H$41,MATCH($A14,'Facts'!$A$2:$A$41,0))</f>
        <v/>
      </c>
      <c r="H14" s="17" t="inlineStr">
        <is>
          <t>APPROVE</t>
        </is>
      </c>
      <c r="I14" s="17" t="inlineStr">
        <is>
          <t>Alex Miller</t>
        </is>
      </c>
      <c r="J14" s="24" t="n">
        <v>46315</v>
      </c>
      <c r="K14" s="17" t="inlineStr">
        <is>
          <t>Verified Daniel Stenberg as original developer of curl; distinguished from earlier HttpGet lineage.</t>
        </is>
      </c>
      <c r="L14" s="16">
        <f>IF(H14="REJECT","REPLACE",IF(H14="REVISE","REVISE",IF(H14="APPROVE",IF(OR(I14="",NOT(ISNUMBER(J14))),"ADD NAME / DATE","REVIEWED"),"PENDING")))</f>
        <v/>
      </c>
      <c r="M14" s="16">
        <f>'Facts'!B7</f>
        <v/>
      </c>
      <c r="N14" s="16">
        <f>'Facts'!I7</f>
        <v/>
      </c>
      <c r="O14" s="16">
        <f>'Facts'!J7</f>
        <v/>
      </c>
    </row>
    <row r="15" ht="76" customHeight="1">
      <c r="A15" s="16" t="inlineStr">
        <is>
          <t>F40_developer_07</t>
        </is>
      </c>
      <c r="B15" s="16">
        <f>INDEX('Facts'!$C$2:$C$41,MATCH($A15,'Facts'!$A$2:$A$41,0))</f>
        <v/>
      </c>
      <c r="C15" s="16">
        <f>INDEX('Facts'!$D$2:$D$41,MATCH($A15,'Facts'!$A$2:$A$41,0))</f>
        <v/>
      </c>
      <c r="D15" s="16">
        <f>INDEX('Facts'!$E$2:$E$41,MATCH($A15,'Facts'!$A$2:$A$41,0))</f>
        <v/>
      </c>
      <c r="E15" s="16">
        <f>INDEX('Facts'!$F$2:$F$41,MATCH($A15,'Facts'!$A$2:$A$41,0))</f>
        <v/>
      </c>
      <c r="F15" s="16">
        <f>INDEX('Facts'!$G$2:$G$41,MATCH($A15,'Facts'!$A$2:$A$41,0))</f>
        <v/>
      </c>
      <c r="G15" s="18">
        <f>INDEX('Facts'!$H$2:$H$41,MATCH($A15,'Facts'!$A$2:$A$41,0))</f>
        <v/>
      </c>
      <c r="H15" s="17" t="inlineStr">
        <is>
          <t>APPROVE</t>
        </is>
      </c>
      <c r="I15" s="17" t="inlineStr">
        <is>
          <t>Alex Miller</t>
        </is>
      </c>
      <c r="J15" s="24" t="n">
        <v>46315</v>
      </c>
      <c r="K15" s="17" t="inlineStr">
        <is>
          <t>Confirmed Linus Torvalds initiated Git in 2005 per project documentation.</t>
        </is>
      </c>
      <c r="L15" s="16">
        <f>IF(H15="REJECT","REPLACE",IF(H15="REVISE","REVISE",IF(H15="APPROVE",IF(OR(I15="",NOT(ISNUMBER(J15))),"ADD NAME / DATE","REVIEWED"),"PENDING")))</f>
        <v/>
      </c>
      <c r="M15" s="16">
        <f>'Facts'!B8</f>
        <v/>
      </c>
      <c r="N15" s="16">
        <f>'Facts'!I8</f>
        <v/>
      </c>
      <c r="O15" s="16">
        <f>'Facts'!J8</f>
        <v/>
      </c>
    </row>
    <row r="16" ht="76" customHeight="1">
      <c r="A16" s="16" t="inlineStr">
        <is>
          <t>F40_developer_08</t>
        </is>
      </c>
      <c r="B16" s="16">
        <f>INDEX('Facts'!$C$2:$C$41,MATCH($A16,'Facts'!$A$2:$A$41,0))</f>
        <v/>
      </c>
      <c r="C16" s="16">
        <f>INDEX('Facts'!$D$2:$D$41,MATCH($A16,'Facts'!$A$2:$A$41,0))</f>
        <v/>
      </c>
      <c r="D16" s="16">
        <f>INDEX('Facts'!$E$2:$E$41,MATCH($A16,'Facts'!$A$2:$A$41,0))</f>
        <v/>
      </c>
      <c r="E16" s="16">
        <f>INDEX('Facts'!$F$2:$F$41,MATCH($A16,'Facts'!$A$2:$A$41,0))</f>
        <v/>
      </c>
      <c r="F16" s="16">
        <f>INDEX('Facts'!$G$2:$G$41,MATCH($A16,'Facts'!$A$2:$A$41,0))</f>
        <v/>
      </c>
      <c r="G16" s="18">
        <f>INDEX('Facts'!$H$2:$H$41,MATCH($A16,'Facts'!$A$2:$A$41,0))</f>
        <v/>
      </c>
      <c r="H16" s="17" t="inlineStr">
        <is>
          <t>APPROVE</t>
        </is>
      </c>
      <c r="I16" s="17" t="inlineStr">
        <is>
          <t>Alex Miller</t>
        </is>
      </c>
      <c r="J16" s="24" t="n">
        <v>46315</v>
      </c>
      <c r="K16" s="17" t="inlineStr">
        <is>
          <t>Confirmed Wes McKinney initiated pandas development in 2008.</t>
        </is>
      </c>
      <c r="L16" s="16">
        <f>IF(H16="REJECT","REPLACE",IF(H16="REVISE","REVISE",IF(H16="APPROVE",IF(OR(I16="",NOT(ISNUMBER(J16))),"ADD NAME / DATE","REVIEWED"),"PENDING")))</f>
        <v/>
      </c>
      <c r="M16" s="16">
        <f>'Facts'!B9</f>
        <v/>
      </c>
      <c r="N16" s="16">
        <f>'Facts'!I9</f>
        <v/>
      </c>
      <c r="O16" s="16">
        <f>'Facts'!J9</f>
        <v/>
      </c>
    </row>
    <row r="17" ht="76" customHeight="1">
      <c r="A17" s="16" t="inlineStr">
        <is>
          <t>F40_developer_09</t>
        </is>
      </c>
      <c r="B17" s="16">
        <f>INDEX('Facts'!$C$2:$C$41,MATCH($A17,'Facts'!$A$2:$A$41,0))</f>
        <v/>
      </c>
      <c r="C17" s="16">
        <f>INDEX('Facts'!$D$2:$D$41,MATCH($A17,'Facts'!$A$2:$A$41,0))</f>
        <v/>
      </c>
      <c r="D17" s="16">
        <f>INDEX('Facts'!$E$2:$E$41,MATCH($A17,'Facts'!$A$2:$A$41,0))</f>
        <v/>
      </c>
      <c r="E17" s="16">
        <f>INDEX('Facts'!$F$2:$F$41,MATCH($A17,'Facts'!$A$2:$A$41,0))</f>
        <v/>
      </c>
      <c r="F17" s="16">
        <f>INDEX('Facts'!$G$2:$G$41,MATCH($A17,'Facts'!$A$2:$A$41,0))</f>
        <v/>
      </c>
      <c r="G17" s="18">
        <f>INDEX('Facts'!$H$2:$H$41,MATCH($A17,'Facts'!$A$2:$A$41,0))</f>
        <v/>
      </c>
      <c r="H17" s="17" t="inlineStr">
        <is>
          <t>APPROVE</t>
        </is>
      </c>
      <c r="I17" s="17" t="inlineStr">
        <is>
          <t>Alex Miller</t>
        </is>
      </c>
      <c r="J17" s="24" t="n">
        <v>46315</v>
      </c>
      <c r="K17" s="17" t="inlineStr">
        <is>
          <t>Confirmed Bjarne Stroustrup created C with Classes (1979) and evolved it into C++.</t>
        </is>
      </c>
      <c r="L17" s="16">
        <f>IF(H17="REJECT","REPLACE",IF(H17="REVISE","REVISE",IF(H17="APPROVE",IF(OR(I17="",NOT(ISNUMBER(J17))),"ADD NAME / DATE","REVIEWED"),"PENDING")))</f>
        <v/>
      </c>
      <c r="M17" s="16">
        <f>'Facts'!B10</f>
        <v/>
      </c>
      <c r="N17" s="16">
        <f>'Facts'!I10</f>
        <v/>
      </c>
      <c r="O17" s="16">
        <f>'Facts'!J10</f>
        <v/>
      </c>
    </row>
    <row r="18" ht="76" customHeight="1">
      <c r="A18" s="16" t="inlineStr">
        <is>
          <t>F40_developer_10</t>
        </is>
      </c>
      <c r="B18" s="16">
        <f>INDEX('Facts'!$C$2:$C$41,MATCH($A18,'Facts'!$A$2:$A$41,0))</f>
        <v/>
      </c>
      <c r="C18" s="16">
        <f>INDEX('Facts'!$D$2:$D$41,MATCH($A18,'Facts'!$A$2:$A$41,0))</f>
        <v/>
      </c>
      <c r="D18" s="16">
        <f>INDEX('Facts'!$E$2:$E$41,MATCH($A18,'Facts'!$A$2:$A$41,0))</f>
        <v/>
      </c>
      <c r="E18" s="16">
        <f>INDEX('Facts'!$F$2:$F$41,MATCH($A18,'Facts'!$A$2:$A$41,0))</f>
        <v/>
      </c>
      <c r="F18" s="16">
        <f>INDEX('Facts'!$G$2:$G$41,MATCH($A18,'Facts'!$A$2:$A$41,0))</f>
        <v/>
      </c>
      <c r="G18" s="18">
        <f>INDEX('Facts'!$H$2:$H$41,MATCH($A18,'Facts'!$A$2:$A$41,0))</f>
        <v/>
      </c>
      <c r="H18" s="17" t="inlineStr">
        <is>
          <t>APPROVE</t>
        </is>
      </c>
      <c r="I18" s="17" t="inlineStr">
        <is>
          <t>Alex Miller</t>
        </is>
      </c>
      <c r="J18" s="24" t="n">
        <v>46315</v>
      </c>
      <c r="K18" s="17" t="inlineStr">
        <is>
          <t>Confirmed Larry Wall as original Perl developer per documentation AUTHOR section.</t>
        </is>
      </c>
      <c r="L18" s="16">
        <f>IF(H18="REJECT","REPLACE",IF(H18="REVISE","REVISE",IF(H18="APPROVE",IF(OR(I18="",NOT(ISNUMBER(J18))),"ADD NAME / DATE","REVIEWED"),"PENDING")))</f>
        <v/>
      </c>
      <c r="M18" s="16">
        <f>'Facts'!B11</f>
        <v/>
      </c>
      <c r="N18" s="16">
        <f>'Facts'!I11</f>
        <v/>
      </c>
      <c r="O18" s="16">
        <f>'Facts'!J11</f>
        <v/>
      </c>
    </row>
    <row r="19" ht="76" customHeight="1">
      <c r="A19" s="16" t="inlineStr">
        <is>
          <t>F40_formation_location_01</t>
        </is>
      </c>
      <c r="B19" s="16">
        <f>INDEX('Facts'!$C$2:$C$41,MATCH($A19,'Facts'!$A$2:$A$41,0))</f>
        <v/>
      </c>
      <c r="C19" s="16">
        <f>INDEX('Facts'!$D$2:$D$41,MATCH($A19,'Facts'!$A$2:$A$41,0))</f>
        <v/>
      </c>
      <c r="D19" s="16">
        <f>INDEX('Facts'!$E$2:$E$41,MATCH($A19,'Facts'!$A$2:$A$41,0))</f>
        <v/>
      </c>
      <c r="E19" s="16">
        <f>INDEX('Facts'!$F$2:$F$41,MATCH($A19,'Facts'!$A$2:$A$41,0))</f>
        <v/>
      </c>
      <c r="F19" s="16">
        <f>INDEX('Facts'!$G$2:$G$41,MATCH($A19,'Facts'!$A$2:$A$41,0))</f>
        <v/>
      </c>
      <c r="G19" s="18">
        <f>INDEX('Facts'!$H$2:$H$41,MATCH($A19,'Facts'!$A$2:$A$41,0))</f>
        <v/>
      </c>
      <c r="H19" s="17" t="inlineStr">
        <is>
          <t>APPROVE</t>
        </is>
      </c>
      <c r="I19" s="17" t="inlineStr">
        <is>
          <t>Alex Miller</t>
        </is>
      </c>
      <c r="J19" s="24" t="n">
        <v>46315</v>
      </c>
      <c r="K19" s="17" t="inlineStr">
        <is>
          <t>Confirmed adidas established in Herzogenaurach in 1949 via official history.</t>
        </is>
      </c>
      <c r="L19" s="16">
        <f>IF(H19="REJECT","REPLACE",IF(H19="REVISE","REVISE",IF(H19="APPROVE",IF(OR(I19="",NOT(ISNUMBER(J19))),"ADD NAME / DATE","REVIEWED"),"PENDING")))</f>
        <v/>
      </c>
      <c r="M19" s="16">
        <f>'Facts'!B12</f>
        <v/>
      </c>
      <c r="N19" s="16">
        <f>'Facts'!I12</f>
        <v/>
      </c>
      <c r="O19" s="16">
        <f>'Facts'!J12</f>
        <v/>
      </c>
    </row>
    <row r="20" ht="76" customHeight="1">
      <c r="A20" s="16" t="inlineStr">
        <is>
          <t>F40_formation_location_02</t>
        </is>
      </c>
      <c r="B20" s="16">
        <f>INDEX('Facts'!$C$2:$C$41,MATCH($A20,'Facts'!$A$2:$A$41,0))</f>
        <v/>
      </c>
      <c r="C20" s="16">
        <f>INDEX('Facts'!$D$2:$D$41,MATCH($A20,'Facts'!$A$2:$A$41,0))</f>
        <v/>
      </c>
      <c r="D20" s="16">
        <f>INDEX('Facts'!$E$2:$E$41,MATCH($A20,'Facts'!$A$2:$A$41,0))</f>
        <v/>
      </c>
      <c r="E20" s="16">
        <f>INDEX('Facts'!$F$2:$F$41,MATCH($A20,'Facts'!$A$2:$A$41,0))</f>
        <v/>
      </c>
      <c r="F20" s="16">
        <f>INDEX('Facts'!$G$2:$G$41,MATCH($A20,'Facts'!$A$2:$A$41,0))</f>
        <v/>
      </c>
      <c r="G20" s="18">
        <f>INDEX('Facts'!$H$2:$H$41,MATCH($A20,'Facts'!$A$2:$A$41,0))</f>
        <v/>
      </c>
      <c r="H20" s="17" t="inlineStr">
        <is>
          <t>APPROVE</t>
        </is>
      </c>
      <c r="I20" s="17" t="inlineStr">
        <is>
          <t>Alex Miller</t>
        </is>
      </c>
      <c r="J20" s="24" t="n">
        <v>46315</v>
      </c>
      <c r="K20" s="17" t="inlineStr">
        <is>
          <t>Confirmed LEGO workshop founded in Billund in 1932 via company history.</t>
        </is>
      </c>
      <c r="L20" s="16">
        <f>IF(H20="REJECT","REPLACE",IF(H20="REVISE","REVISE",IF(H20="APPROVE",IF(OR(I20="",NOT(ISNUMBER(J20))),"ADD NAME / DATE","REVIEWED"),"PENDING")))</f>
        <v/>
      </c>
      <c r="M20" s="16">
        <f>'Facts'!B13</f>
        <v/>
      </c>
      <c r="N20" s="16">
        <f>'Facts'!I13</f>
        <v/>
      </c>
      <c r="O20" s="16">
        <f>'Facts'!J13</f>
        <v/>
      </c>
    </row>
    <row r="21" ht="76" customHeight="1">
      <c r="A21" s="16" t="inlineStr">
        <is>
          <t>F40_formation_location_03</t>
        </is>
      </c>
      <c r="B21" s="16">
        <f>INDEX('Facts'!$C$2:$C$41,MATCH($A21,'Facts'!$A$2:$A$41,0))</f>
        <v/>
      </c>
      <c r="C21" s="16">
        <f>INDEX('Facts'!$D$2:$D$41,MATCH($A21,'Facts'!$A$2:$A$41,0))</f>
        <v/>
      </c>
      <c r="D21" s="16">
        <f>INDEX('Facts'!$E$2:$E$41,MATCH($A21,'Facts'!$A$2:$A$41,0))</f>
        <v/>
      </c>
      <c r="E21" s="16">
        <f>INDEX('Facts'!$F$2:$F$41,MATCH($A21,'Facts'!$A$2:$A$41,0))</f>
        <v/>
      </c>
      <c r="F21" s="16">
        <f>INDEX('Facts'!$G$2:$G$41,MATCH($A21,'Facts'!$A$2:$A$41,0))</f>
        <v/>
      </c>
      <c r="G21" s="18">
        <f>INDEX('Facts'!$H$2:$H$41,MATCH($A21,'Facts'!$A$2:$A$41,0))</f>
        <v/>
      </c>
      <c r="H21" s="17" t="inlineStr">
        <is>
          <t>APPROVE</t>
        </is>
      </c>
      <c r="I21" s="17" t="inlineStr">
        <is>
          <t>Alex Miller</t>
        </is>
      </c>
      <c r="J21" s="24" t="n">
        <v>46315</v>
      </c>
      <c r="K21" s="17" t="inlineStr">
        <is>
          <t>Confirmed Nintendo established in Kyoto in 1889 via company history.</t>
        </is>
      </c>
      <c r="L21" s="16">
        <f>IF(H21="REJECT","REPLACE",IF(H21="REVISE","REVISE",IF(H21="APPROVE",IF(OR(I21="",NOT(ISNUMBER(J21))),"ADD NAME / DATE","REVIEWED"),"PENDING")))</f>
        <v/>
      </c>
      <c r="M21" s="16">
        <f>'Facts'!B14</f>
        <v/>
      </c>
      <c r="N21" s="16">
        <f>'Facts'!I14</f>
        <v/>
      </c>
      <c r="O21" s="16">
        <f>'Facts'!J14</f>
        <v/>
      </c>
    </row>
    <row r="22" ht="76" customHeight="1">
      <c r="A22" s="16" t="inlineStr">
        <is>
          <t>F40_formation_location_04</t>
        </is>
      </c>
      <c r="B22" s="16">
        <f>INDEX('Facts'!$C$2:$C$41,MATCH($A22,'Facts'!$A$2:$A$41,0))</f>
        <v/>
      </c>
      <c r="C22" s="16">
        <f>INDEX('Facts'!$D$2:$D$41,MATCH($A22,'Facts'!$A$2:$A$41,0))</f>
        <v/>
      </c>
      <c r="D22" s="16">
        <f>INDEX('Facts'!$E$2:$E$41,MATCH($A22,'Facts'!$A$2:$A$41,0))</f>
        <v/>
      </c>
      <c r="E22" s="16">
        <f>INDEX('Facts'!$F$2:$F$41,MATCH($A22,'Facts'!$A$2:$A$41,0))</f>
        <v/>
      </c>
      <c r="F22" s="16">
        <f>INDEX('Facts'!$G$2:$G$41,MATCH($A22,'Facts'!$A$2:$A$41,0))</f>
        <v/>
      </c>
      <c r="G22" s="18">
        <f>INDEX('Facts'!$H$2:$H$41,MATCH($A22,'Facts'!$A$2:$A$41,0))</f>
        <v/>
      </c>
      <c r="H22" s="17" t="inlineStr">
        <is>
          <t>APPROVE</t>
        </is>
      </c>
      <c r="I22" s="17" t="inlineStr">
        <is>
          <t>Alex Miller</t>
        </is>
      </c>
      <c r="J22" s="24" t="n">
        <v>46315</v>
      </c>
      <c r="K22" s="17" t="inlineStr">
        <is>
          <t>Confirmed Microsoft founded in Albuquerque in 1975, distinct from later WA sites.</t>
        </is>
      </c>
      <c r="L22" s="16">
        <f>IF(H22="REJECT","REPLACE",IF(H22="REVISE","REVISE",IF(H22="APPROVE",IF(OR(I22="",NOT(ISNUMBER(J22))),"ADD NAME / DATE","REVIEWED"),"PENDING")))</f>
        <v/>
      </c>
      <c r="M22" s="16">
        <f>'Facts'!B15</f>
        <v/>
      </c>
      <c r="N22" s="16">
        <f>'Facts'!I15</f>
        <v/>
      </c>
      <c r="O22" s="16">
        <f>'Facts'!J15</f>
        <v/>
      </c>
    </row>
    <row r="23" ht="76" customHeight="1">
      <c r="A23" s="16" t="inlineStr">
        <is>
          <t>F40_formation_location_05</t>
        </is>
      </c>
      <c r="B23" s="16">
        <f>INDEX('Facts'!$C$2:$C$41,MATCH($A23,'Facts'!$A$2:$A$41,0))</f>
        <v/>
      </c>
      <c r="C23" s="16">
        <f>INDEX('Facts'!$D$2:$D$41,MATCH($A23,'Facts'!$A$2:$A$41,0))</f>
        <v/>
      </c>
      <c r="D23" s="16">
        <f>INDEX('Facts'!$E$2:$E$41,MATCH($A23,'Facts'!$A$2:$A$41,0))</f>
        <v/>
      </c>
      <c r="E23" s="16">
        <f>INDEX('Facts'!$F$2:$F$41,MATCH($A23,'Facts'!$A$2:$A$41,0))</f>
        <v/>
      </c>
      <c r="F23" s="16">
        <f>INDEX('Facts'!$G$2:$G$41,MATCH($A23,'Facts'!$A$2:$A$41,0))</f>
        <v/>
      </c>
      <c r="G23" s="18">
        <f>INDEX('Facts'!$H$2:$H$41,MATCH($A23,'Facts'!$A$2:$A$41,0))</f>
        <v/>
      </c>
      <c r="H23" s="17" t="inlineStr">
        <is>
          <t>APPROVE</t>
        </is>
      </c>
      <c r="I23" s="17" t="inlineStr">
        <is>
          <t>Alex Miller</t>
        </is>
      </c>
      <c r="J23" s="24" t="n">
        <v>46315</v>
      </c>
      <c r="K23" s="17" t="inlineStr">
        <is>
          <t>Confirmed predecessor Tokyo Tsushin Kogyo established in Nihonbashi, Tokyo in 1946.</t>
        </is>
      </c>
      <c r="L23" s="16">
        <f>IF(H23="REJECT","REPLACE",IF(H23="REVISE","REVISE",IF(H23="APPROVE",IF(OR(I23="",NOT(ISNUMBER(J23))),"ADD NAME / DATE","REVIEWED"),"PENDING")))</f>
        <v/>
      </c>
      <c r="M23" s="16">
        <f>'Facts'!B16</f>
        <v/>
      </c>
      <c r="N23" s="16">
        <f>'Facts'!I16</f>
        <v/>
      </c>
      <c r="O23" s="16">
        <f>'Facts'!J16</f>
        <v/>
      </c>
    </row>
    <row r="24" ht="76" customHeight="1">
      <c r="A24" s="16" t="inlineStr">
        <is>
          <t>F40_formation_location_06</t>
        </is>
      </c>
      <c r="B24" s="16">
        <f>INDEX('Facts'!$C$2:$C$41,MATCH($A24,'Facts'!$A$2:$A$41,0))</f>
        <v/>
      </c>
      <c r="C24" s="16">
        <f>INDEX('Facts'!$D$2:$D$41,MATCH($A24,'Facts'!$A$2:$A$41,0))</f>
        <v/>
      </c>
      <c r="D24" s="16">
        <f>INDEX('Facts'!$E$2:$E$41,MATCH($A24,'Facts'!$A$2:$A$41,0))</f>
        <v/>
      </c>
      <c r="E24" s="16">
        <f>INDEX('Facts'!$F$2:$F$41,MATCH($A24,'Facts'!$A$2:$A$41,0))</f>
        <v/>
      </c>
      <c r="F24" s="16">
        <f>INDEX('Facts'!$G$2:$G$41,MATCH($A24,'Facts'!$A$2:$A$41,0))</f>
        <v/>
      </c>
      <c r="G24" s="18">
        <f>INDEX('Facts'!$H$2:$H$41,MATCH($A24,'Facts'!$A$2:$A$41,0))</f>
        <v/>
      </c>
      <c r="H24" s="17" t="inlineStr">
        <is>
          <t>APPROVE</t>
        </is>
      </c>
      <c r="I24" s="17" t="inlineStr">
        <is>
          <t>Alex Miller</t>
        </is>
      </c>
      <c r="J24" s="24" t="n">
        <v>46315</v>
      </c>
      <c r="K24" s="17" t="inlineStr">
        <is>
          <t>Confirmed BMW aero-engine origin in Munich via corporate centenary records.</t>
        </is>
      </c>
      <c r="L24" s="16">
        <f>IF(H24="REJECT","REPLACE",IF(H24="REVISE","REVISE",IF(H24="APPROVE",IF(OR(I24="",NOT(ISNUMBER(J24))),"ADD NAME / DATE","REVIEWED"),"PENDING")))</f>
        <v/>
      </c>
      <c r="M24" s="16">
        <f>'Facts'!B17</f>
        <v/>
      </c>
      <c r="N24" s="16">
        <f>'Facts'!I17</f>
        <v/>
      </c>
      <c r="O24" s="16">
        <f>'Facts'!J17</f>
        <v/>
      </c>
    </row>
    <row r="25" ht="76" customHeight="1">
      <c r="A25" s="16" t="inlineStr">
        <is>
          <t>F40_formation_location_07</t>
        </is>
      </c>
      <c r="B25" s="16">
        <f>INDEX('Facts'!$C$2:$C$41,MATCH($A25,'Facts'!$A$2:$A$41,0))</f>
        <v/>
      </c>
      <c r="C25" s="16">
        <f>INDEX('Facts'!$D$2:$D$41,MATCH($A25,'Facts'!$A$2:$A$41,0))</f>
        <v/>
      </c>
      <c r="D25" s="16">
        <f>INDEX('Facts'!$E$2:$E$41,MATCH($A25,'Facts'!$A$2:$A$41,0))</f>
        <v/>
      </c>
      <c r="E25" s="16">
        <f>INDEX('Facts'!$F$2:$F$41,MATCH($A25,'Facts'!$A$2:$A$41,0))</f>
        <v/>
      </c>
      <c r="F25" s="16">
        <f>INDEX('Facts'!$G$2:$G$41,MATCH($A25,'Facts'!$A$2:$A$41,0))</f>
        <v/>
      </c>
      <c r="G25" s="18">
        <f>INDEX('Facts'!$H$2:$H$41,MATCH($A25,'Facts'!$A$2:$A$41,0))</f>
        <v/>
      </c>
      <c r="H25" s="17" t="inlineStr">
        <is>
          <t>APPROVE</t>
        </is>
      </c>
      <c r="I25" s="17" t="inlineStr">
        <is>
          <t>Alex Miller</t>
        </is>
      </c>
      <c r="J25" s="24" t="n">
        <v>46315</v>
      </c>
      <c r="K25" s="17" t="inlineStr">
        <is>
          <t>Confirmed Volvo vehicle production founded in Gothenburg in 1927.</t>
        </is>
      </c>
      <c r="L25" s="16">
        <f>IF(H25="REJECT","REPLACE",IF(H25="REVISE","REVISE",IF(H25="APPROVE",IF(OR(I25="",NOT(ISNUMBER(J25))),"ADD NAME / DATE","REVIEWED"),"PENDING")))</f>
        <v/>
      </c>
      <c r="M25" s="16">
        <f>'Facts'!B18</f>
        <v/>
      </c>
      <c r="N25" s="16">
        <f>'Facts'!I18</f>
        <v/>
      </c>
      <c r="O25" s="16">
        <f>'Facts'!J18</f>
        <v/>
      </c>
    </row>
    <row r="26" ht="76" customHeight="1">
      <c r="A26" s="16" t="inlineStr">
        <is>
          <t>F40_formation_location_08</t>
        </is>
      </c>
      <c r="B26" s="16">
        <f>INDEX('Facts'!$C$2:$C$41,MATCH($A26,'Facts'!$A$2:$A$41,0))</f>
        <v/>
      </c>
      <c r="C26" s="16">
        <f>INDEX('Facts'!$D$2:$D$41,MATCH($A26,'Facts'!$A$2:$A$41,0))</f>
        <v/>
      </c>
      <c r="D26" s="16">
        <f>INDEX('Facts'!$E$2:$E$41,MATCH($A26,'Facts'!$A$2:$A$41,0))</f>
        <v/>
      </c>
      <c r="E26" s="16">
        <f>INDEX('Facts'!$F$2:$F$41,MATCH($A26,'Facts'!$A$2:$A$41,0))</f>
        <v/>
      </c>
      <c r="F26" s="16">
        <f>INDEX('Facts'!$G$2:$G$41,MATCH($A26,'Facts'!$A$2:$A$41,0))</f>
        <v/>
      </c>
      <c r="G26" s="18">
        <f>INDEX('Facts'!$H$2:$H$41,MATCH($A26,'Facts'!$A$2:$A$41,0))</f>
        <v/>
      </c>
      <c r="H26" s="17" t="inlineStr">
        <is>
          <t>APPROVE</t>
        </is>
      </c>
      <c r="I26" s="17" t="inlineStr">
        <is>
          <t>Alex Miller</t>
        </is>
      </c>
      <c r="J26" s="24" t="n">
        <v>46315</v>
      </c>
      <c r="K26" s="17" t="inlineStr">
        <is>
          <t>Confirmed Harley-Davidson founded in Milwaukee in 1903 per corporate history.</t>
        </is>
      </c>
      <c r="L26" s="16">
        <f>IF(H26="REJECT","REPLACE",IF(H26="REVISE","REVISE",IF(H26="APPROVE",IF(OR(I26="",NOT(ISNUMBER(J26))),"ADD NAME / DATE","REVIEWED"),"PENDING")))</f>
        <v/>
      </c>
      <c r="M26" s="16">
        <f>'Facts'!B19</f>
        <v/>
      </c>
      <c r="N26" s="16">
        <f>'Facts'!I19</f>
        <v/>
      </c>
      <c r="O26" s="16">
        <f>'Facts'!J19</f>
        <v/>
      </c>
    </row>
    <row r="27" ht="76" customHeight="1">
      <c r="A27" s="16" t="inlineStr">
        <is>
          <t>F40_formation_location_09</t>
        </is>
      </c>
      <c r="B27" s="16">
        <f>INDEX('Facts'!$C$2:$C$41,MATCH($A27,'Facts'!$A$2:$A$41,0))</f>
        <v/>
      </c>
      <c r="C27" s="16">
        <f>INDEX('Facts'!$D$2:$D$41,MATCH($A27,'Facts'!$A$2:$A$41,0))</f>
        <v/>
      </c>
      <c r="D27" s="16">
        <f>INDEX('Facts'!$E$2:$E$41,MATCH($A27,'Facts'!$A$2:$A$41,0))</f>
        <v/>
      </c>
      <c r="E27" s="16">
        <f>INDEX('Facts'!$F$2:$F$41,MATCH($A27,'Facts'!$A$2:$A$41,0))</f>
        <v/>
      </c>
      <c r="F27" s="16">
        <f>INDEX('Facts'!$G$2:$G$41,MATCH($A27,'Facts'!$A$2:$A$41,0))</f>
        <v/>
      </c>
      <c r="G27" s="18">
        <f>INDEX('Facts'!$H$2:$H$41,MATCH($A27,'Facts'!$A$2:$A$41,0))</f>
        <v/>
      </c>
      <c r="H27" s="17" t="inlineStr">
        <is>
          <t>APPROVE</t>
        </is>
      </c>
      <c r="I27" s="17" t="inlineStr">
        <is>
          <t>Alex Miller</t>
        </is>
      </c>
      <c r="J27" s="24" t="n">
        <v>46315</v>
      </c>
      <c r="K27" s="17" t="inlineStr">
        <is>
          <t>Confirmed predecessor Onitsuka Co., Ltd. founded in Kobe in 1949; distinct from 1977 ASICS merger.</t>
        </is>
      </c>
      <c r="L27" s="16">
        <f>IF(H27="REJECT","REPLACE",IF(H27="REVISE","REVISE",IF(H27="APPROVE",IF(OR(I27="",NOT(ISNUMBER(J27))),"ADD NAME / DATE","REVIEWED"),"PENDING")))</f>
        <v/>
      </c>
      <c r="M27" s="16">
        <f>'Facts'!B20</f>
        <v/>
      </c>
      <c r="N27" s="16">
        <f>'Facts'!I20</f>
        <v/>
      </c>
      <c r="O27" s="16">
        <f>'Facts'!J20</f>
        <v/>
      </c>
    </row>
    <row r="28" ht="76" customHeight="1">
      <c r="A28" s="16" t="inlineStr">
        <is>
          <t>F40_formation_location_10</t>
        </is>
      </c>
      <c r="B28" s="16">
        <f>INDEX('Facts'!$C$2:$C$41,MATCH($A28,'Facts'!$A$2:$A$41,0))</f>
        <v/>
      </c>
      <c r="C28" s="16">
        <f>INDEX('Facts'!$D$2:$D$41,MATCH($A28,'Facts'!$A$2:$A$41,0))</f>
        <v/>
      </c>
      <c r="D28" s="16">
        <f>INDEX('Facts'!$E$2:$E$41,MATCH($A28,'Facts'!$A$2:$A$41,0))</f>
        <v/>
      </c>
      <c r="E28" s="16">
        <f>INDEX('Facts'!$F$2:$F$41,MATCH($A28,'Facts'!$A$2:$A$41,0))</f>
        <v/>
      </c>
      <c r="F28" s="16">
        <f>INDEX('Facts'!$G$2:$G$41,MATCH($A28,'Facts'!$A$2:$A$41,0))</f>
        <v/>
      </c>
      <c r="G28" s="18">
        <f>INDEX('Facts'!$H$2:$H$41,MATCH($A28,'Facts'!$A$2:$A$41,0))</f>
        <v/>
      </c>
      <c r="H28" s="17" t="inlineStr">
        <is>
          <t>APPROVE</t>
        </is>
      </c>
      <c r="I28" s="17" t="inlineStr">
        <is>
          <t>Alex Miller</t>
        </is>
      </c>
      <c r="J28" s="24" t="n">
        <v>46315</v>
      </c>
      <c r="K28" s="17" t="inlineStr">
        <is>
          <t>Confirmed Automobili Lamborghini established in Sant’Agata Bolognese in 1963.</t>
        </is>
      </c>
      <c r="L28" s="16">
        <f>IF(H28="REJECT","REPLACE",IF(H28="REVISE","REVISE",IF(H28="APPROVE",IF(OR(I28="",NOT(ISNUMBER(J28))),"ADD NAME / DATE","REVIEWED"),"PENDING")))</f>
        <v/>
      </c>
      <c r="M28" s="16">
        <f>'Facts'!B21</f>
        <v/>
      </c>
      <c r="N28" s="16">
        <f>'Facts'!I21</f>
        <v/>
      </c>
      <c r="O28" s="16">
        <f>'Facts'!J21</f>
        <v/>
      </c>
    </row>
    <row r="29" ht="76" customHeight="1">
      <c r="A29" s="16" t="inlineStr">
        <is>
          <t>F40_original_language_01</t>
        </is>
      </c>
      <c r="B29" s="16">
        <f>INDEX('Facts'!$C$2:$C$41,MATCH($A29,'Facts'!$A$2:$A$41,0))</f>
        <v/>
      </c>
      <c r="C29" s="16">
        <f>INDEX('Facts'!$D$2:$D$41,MATCH($A29,'Facts'!$A$2:$A$41,0))</f>
        <v/>
      </c>
      <c r="D29" s="16">
        <f>INDEX('Facts'!$E$2:$E$41,MATCH($A29,'Facts'!$A$2:$A$41,0))</f>
        <v/>
      </c>
      <c r="E29" s="16">
        <f>INDEX('Facts'!$F$2:$F$41,MATCH($A29,'Facts'!$A$2:$A$41,0))</f>
        <v/>
      </c>
      <c r="F29" s="16">
        <f>INDEX('Facts'!$G$2:$G$41,MATCH($A29,'Facts'!$A$2:$A$41,0))</f>
        <v/>
      </c>
      <c r="G29" s="18">
        <f>INDEX('Facts'!$H$2:$H$41,MATCH($A29,'Facts'!$A$2:$A$41,0))</f>
        <v/>
      </c>
      <c r="H29" s="17" t="inlineStr">
        <is>
          <t>APPROVE</t>
        </is>
      </c>
      <c r="I29" s="17" t="inlineStr">
        <is>
          <t>Alex Miller</t>
        </is>
      </c>
      <c r="J29" s="24" t="n">
        <v>46315</v>
      </c>
      <c r="K29" s="17" t="inlineStr">
        <is>
          <t>Confirmed principal language is Korean via Criterion distributor record.</t>
        </is>
      </c>
      <c r="L29" s="16">
        <f>IF(H29="REJECT","REPLACE",IF(H29="REVISE","REVISE",IF(H29="APPROVE",IF(OR(I29="",NOT(ISNUMBER(J29))),"ADD NAME / DATE","REVIEWED"),"PENDING")))</f>
        <v/>
      </c>
      <c r="M29" s="16">
        <f>'Facts'!B22</f>
        <v/>
      </c>
      <c r="N29" s="16">
        <f>'Facts'!I22</f>
        <v/>
      </c>
      <c r="O29" s="16">
        <f>'Facts'!J22</f>
        <v/>
      </c>
    </row>
    <row r="30" ht="76" customHeight="1">
      <c r="A30" s="16" t="inlineStr">
        <is>
          <t>F40_original_language_02</t>
        </is>
      </c>
      <c r="B30" s="16">
        <f>INDEX('Facts'!$C$2:$C$41,MATCH($A30,'Facts'!$A$2:$A$41,0))</f>
        <v/>
      </c>
      <c r="C30" s="16">
        <f>INDEX('Facts'!$D$2:$D$41,MATCH($A30,'Facts'!$A$2:$A$41,0))</f>
        <v/>
      </c>
      <c r="D30" s="16">
        <f>INDEX('Facts'!$E$2:$E$41,MATCH($A30,'Facts'!$A$2:$A$41,0))</f>
        <v/>
      </c>
      <c r="E30" s="16">
        <f>INDEX('Facts'!$F$2:$F$41,MATCH($A30,'Facts'!$A$2:$A$41,0))</f>
        <v/>
      </c>
      <c r="F30" s="16">
        <f>INDEX('Facts'!$G$2:$G$41,MATCH($A30,'Facts'!$A$2:$A$41,0))</f>
        <v/>
      </c>
      <c r="G30" s="18">
        <f>INDEX('Facts'!$H$2:$H$41,MATCH($A30,'Facts'!$A$2:$A$41,0))</f>
        <v/>
      </c>
      <c r="H30" s="17" t="inlineStr">
        <is>
          <t>APPROVE</t>
        </is>
      </c>
      <c r="I30" s="17" t="inlineStr">
        <is>
          <t>Alex Miller</t>
        </is>
      </c>
      <c r="J30" s="24" t="n">
        <v>46315</v>
      </c>
      <c r="K30" s="17" t="inlineStr">
        <is>
          <t>Confirmed principal language is Japanese via Criterion distributor record.</t>
        </is>
      </c>
      <c r="L30" s="16">
        <f>IF(H30="REJECT","REPLACE",IF(H30="REVISE","REVISE",IF(H30="APPROVE",IF(OR(I30="",NOT(ISNUMBER(J30))),"ADD NAME / DATE","REVIEWED"),"PENDING")))</f>
        <v/>
      </c>
      <c r="M30" s="16">
        <f>'Facts'!B23</f>
        <v/>
      </c>
      <c r="N30" s="16">
        <f>'Facts'!I23</f>
        <v/>
      </c>
      <c r="O30" s="16">
        <f>'Facts'!J23</f>
        <v/>
      </c>
    </row>
    <row r="31" ht="76" customHeight="1">
      <c r="A31" s="16" t="inlineStr">
        <is>
          <t>F40_original_language_03</t>
        </is>
      </c>
      <c r="B31" s="16">
        <f>INDEX('Facts'!$C$2:$C$41,MATCH($A31,'Facts'!$A$2:$A$41,0))</f>
        <v/>
      </c>
      <c r="C31" s="16">
        <f>INDEX('Facts'!$D$2:$D$41,MATCH($A31,'Facts'!$A$2:$A$41,0))</f>
        <v/>
      </c>
      <c r="D31" s="16">
        <f>INDEX('Facts'!$E$2:$E$41,MATCH($A31,'Facts'!$A$2:$A$41,0))</f>
        <v/>
      </c>
      <c r="E31" s="16">
        <f>INDEX('Facts'!$F$2:$F$41,MATCH($A31,'Facts'!$A$2:$A$41,0))</f>
        <v/>
      </c>
      <c r="F31" s="16">
        <f>INDEX('Facts'!$G$2:$G$41,MATCH($A31,'Facts'!$A$2:$A$41,0))</f>
        <v/>
      </c>
      <c r="G31" s="18">
        <f>INDEX('Facts'!$H$2:$H$41,MATCH($A31,'Facts'!$A$2:$A$41,0))</f>
        <v/>
      </c>
      <c r="H31" s="17" t="inlineStr">
        <is>
          <t>APPROVE</t>
        </is>
      </c>
      <c r="I31" s="17" t="inlineStr">
        <is>
          <t>Alex Miller</t>
        </is>
      </c>
      <c r="J31" s="24" t="n">
        <v>46315</v>
      </c>
      <c r="K31" s="17" t="inlineStr">
        <is>
          <t>Confirmed principal language is French via Criterion distributor record.</t>
        </is>
      </c>
      <c r="L31" s="16">
        <f>IF(H31="REJECT","REPLACE",IF(H31="REVISE","REVISE",IF(H31="APPROVE",IF(OR(I31="",NOT(ISNUMBER(J31))),"ADD NAME / DATE","REVIEWED"),"PENDING")))</f>
        <v/>
      </c>
      <c r="M31" s="16">
        <f>'Facts'!B24</f>
        <v/>
      </c>
      <c r="N31" s="16">
        <f>'Facts'!I24</f>
        <v/>
      </c>
      <c r="O31" s="16">
        <f>'Facts'!J24</f>
        <v/>
      </c>
    </row>
    <row r="32" ht="76" customHeight="1">
      <c r="A32" s="16" t="inlineStr">
        <is>
          <t>F40_original_language_04</t>
        </is>
      </c>
      <c r="B32" s="16">
        <f>INDEX('Facts'!$C$2:$C$41,MATCH($A32,'Facts'!$A$2:$A$41,0))</f>
        <v/>
      </c>
      <c r="C32" s="16">
        <f>INDEX('Facts'!$D$2:$D$41,MATCH($A32,'Facts'!$A$2:$A$41,0))</f>
        <v/>
      </c>
      <c r="D32" s="16">
        <f>INDEX('Facts'!$E$2:$E$41,MATCH($A32,'Facts'!$A$2:$A$41,0))</f>
        <v/>
      </c>
      <c r="E32" s="16">
        <f>INDEX('Facts'!$F$2:$F$41,MATCH($A32,'Facts'!$A$2:$A$41,0))</f>
        <v/>
      </c>
      <c r="F32" s="16">
        <f>INDEX('Facts'!$G$2:$G$41,MATCH($A32,'Facts'!$A$2:$A$41,0))</f>
        <v/>
      </c>
      <c r="G32" s="18">
        <f>INDEX('Facts'!$H$2:$H$41,MATCH($A32,'Facts'!$A$2:$A$41,0))</f>
        <v/>
      </c>
      <c r="H32" s="17" t="inlineStr">
        <is>
          <t>APPROVE</t>
        </is>
      </c>
      <c r="I32" s="17" t="inlineStr">
        <is>
          <t>Alex Miller</t>
        </is>
      </c>
      <c r="J32" s="24" t="n">
        <v>46315</v>
      </c>
      <c r="K32" s="17" t="inlineStr">
        <is>
          <t>Confirmed German as principal language of original theatrical cut; excluded separate English version.</t>
        </is>
      </c>
      <c r="L32" s="16">
        <f>IF(H32="REJECT","REPLACE",IF(H32="REVISE","REVISE",IF(H32="APPROVE",IF(OR(I32="",NOT(ISNUMBER(J32))),"ADD NAME / DATE","REVIEWED"),"PENDING")))</f>
        <v/>
      </c>
      <c r="M32" s="16">
        <f>'Facts'!B25</f>
        <v/>
      </c>
      <c r="N32" s="16">
        <f>'Facts'!I25</f>
        <v/>
      </c>
      <c r="O32" s="16">
        <f>'Facts'!J25</f>
        <v/>
      </c>
    </row>
    <row r="33" ht="76" customHeight="1">
      <c r="A33" s="16" t="inlineStr">
        <is>
          <t>F40_original_language_05</t>
        </is>
      </c>
      <c r="B33" s="16">
        <f>INDEX('Facts'!$C$2:$C$41,MATCH($A33,'Facts'!$A$2:$A$41,0))</f>
        <v/>
      </c>
      <c r="C33" s="16">
        <f>INDEX('Facts'!$D$2:$D$41,MATCH($A33,'Facts'!$A$2:$A$41,0))</f>
        <v/>
      </c>
      <c r="D33" s="16">
        <f>INDEX('Facts'!$E$2:$E$41,MATCH($A33,'Facts'!$A$2:$A$41,0))</f>
        <v/>
      </c>
      <c r="E33" s="16">
        <f>INDEX('Facts'!$F$2:$F$41,MATCH($A33,'Facts'!$A$2:$A$41,0))</f>
        <v/>
      </c>
      <c r="F33" s="16">
        <f>INDEX('Facts'!$G$2:$G$41,MATCH($A33,'Facts'!$A$2:$A$41,0))</f>
        <v/>
      </c>
      <c r="G33" s="18">
        <f>INDEX('Facts'!$H$2:$H$41,MATCH($A33,'Facts'!$A$2:$A$41,0))</f>
        <v/>
      </c>
      <c r="H33" s="17" t="inlineStr">
        <is>
          <t>APPROVE</t>
        </is>
      </c>
      <c r="I33" s="17" t="inlineStr">
        <is>
          <t>Alex Miller</t>
        </is>
      </c>
      <c r="J33" s="24" t="n">
        <v>46315</v>
      </c>
      <c r="K33" s="17" t="inlineStr">
        <is>
          <t>Confirmed principal language is Spanish via Criterion distributor record.</t>
        </is>
      </c>
      <c r="L33" s="16">
        <f>IF(H33="REJECT","REPLACE",IF(H33="REVISE","REVISE",IF(H33="APPROVE",IF(OR(I33="",NOT(ISNUMBER(J33))),"ADD NAME / DATE","REVIEWED"),"PENDING")))</f>
        <v/>
      </c>
      <c r="M33" s="16">
        <f>'Facts'!B26</f>
        <v/>
      </c>
      <c r="N33" s="16">
        <f>'Facts'!I26</f>
        <v/>
      </c>
      <c r="O33" s="16">
        <f>'Facts'!J26</f>
        <v/>
      </c>
    </row>
    <row r="34" ht="76" customHeight="1">
      <c r="A34" s="16" t="inlineStr">
        <is>
          <t>F40_original_language_06</t>
        </is>
      </c>
      <c r="B34" s="16">
        <f>INDEX('Facts'!$C$2:$C$41,MATCH($A34,'Facts'!$A$2:$A$41,0))</f>
        <v/>
      </c>
      <c r="C34" s="16">
        <f>INDEX('Facts'!$D$2:$D$41,MATCH($A34,'Facts'!$A$2:$A$41,0))</f>
        <v/>
      </c>
      <c r="D34" s="16">
        <f>INDEX('Facts'!$E$2:$E$41,MATCH($A34,'Facts'!$A$2:$A$41,0))</f>
        <v/>
      </c>
      <c r="E34" s="16">
        <f>INDEX('Facts'!$F$2:$F$41,MATCH($A34,'Facts'!$A$2:$A$41,0))</f>
        <v/>
      </c>
      <c r="F34" s="16">
        <f>INDEX('Facts'!$G$2:$G$41,MATCH($A34,'Facts'!$A$2:$A$41,0))</f>
        <v/>
      </c>
      <c r="G34" s="18">
        <f>INDEX('Facts'!$H$2:$H$41,MATCH($A34,'Facts'!$A$2:$A$41,0))</f>
        <v/>
      </c>
      <c r="H34" s="17" t="inlineStr">
        <is>
          <t>APPROVE</t>
        </is>
      </c>
      <c r="I34" s="17" t="inlineStr">
        <is>
          <t>Alex Miller</t>
        </is>
      </c>
      <c r="J34" s="24" t="n">
        <v>46315</v>
      </c>
      <c r="K34" s="17" t="inlineStr">
        <is>
          <t>Confirmed principal language is Swedish via Criterion distributor record.</t>
        </is>
      </c>
      <c r="L34" s="16">
        <f>IF(H34="REJECT","REPLACE",IF(H34="REVISE","REVISE",IF(H34="APPROVE",IF(OR(I34="",NOT(ISNUMBER(J34))),"ADD NAME / DATE","REVIEWED"),"PENDING")))</f>
        <v/>
      </c>
      <c r="M34" s="16">
        <f>'Facts'!B27</f>
        <v/>
      </c>
      <c r="N34" s="16">
        <f>'Facts'!I27</f>
        <v/>
      </c>
      <c r="O34" s="16">
        <f>'Facts'!J27</f>
        <v/>
      </c>
    </row>
    <row r="35" ht="76" customHeight="1">
      <c r="A35" s="16" t="inlineStr">
        <is>
          <t>F40_original_language_07</t>
        </is>
      </c>
      <c r="B35" s="16">
        <f>INDEX('Facts'!$C$2:$C$41,MATCH($A35,'Facts'!$A$2:$A$41,0))</f>
        <v/>
      </c>
      <c r="C35" s="16">
        <f>INDEX('Facts'!$D$2:$D$41,MATCH($A35,'Facts'!$A$2:$A$41,0))</f>
        <v/>
      </c>
      <c r="D35" s="16">
        <f>INDEX('Facts'!$E$2:$E$41,MATCH($A35,'Facts'!$A$2:$A$41,0))</f>
        <v/>
      </c>
      <c r="E35" s="16">
        <f>INDEX('Facts'!$F$2:$F$41,MATCH($A35,'Facts'!$A$2:$A$41,0))</f>
        <v/>
      </c>
      <c r="F35" s="16">
        <f>INDEX('Facts'!$G$2:$G$41,MATCH($A35,'Facts'!$A$2:$A$41,0))</f>
        <v/>
      </c>
      <c r="G35" s="18">
        <f>INDEX('Facts'!$H$2:$H$41,MATCH($A35,'Facts'!$A$2:$A$41,0))</f>
        <v/>
      </c>
      <c r="H35" s="17" t="inlineStr">
        <is>
          <t>APPROVE</t>
        </is>
      </c>
      <c r="I35" s="17" t="inlineStr">
        <is>
          <t>Alex Miller</t>
        </is>
      </c>
      <c r="J35" s="24" t="n">
        <v>46315</v>
      </c>
      <c r="K35" s="17" t="inlineStr">
        <is>
          <t>Confirmed principal language is Italian via Criterion distributor record.</t>
        </is>
      </c>
      <c r="L35" s="16">
        <f>IF(H35="REJECT","REPLACE",IF(H35="REVISE","REVISE",IF(H35="APPROVE",IF(OR(I35="",NOT(ISNUMBER(J35))),"ADD NAME / DATE","REVIEWED"),"PENDING")))</f>
        <v/>
      </c>
      <c r="M35" s="16">
        <f>'Facts'!B28</f>
        <v/>
      </c>
      <c r="N35" s="16">
        <f>'Facts'!I28</f>
        <v/>
      </c>
      <c r="O35" s="16">
        <f>'Facts'!J28</f>
        <v/>
      </c>
    </row>
    <row r="36" ht="76" customHeight="1">
      <c r="A36" s="16" t="inlineStr">
        <is>
          <t>F40_original_language_08</t>
        </is>
      </c>
      <c r="B36" s="16">
        <f>INDEX('Facts'!$C$2:$C$41,MATCH($A36,'Facts'!$A$2:$A$41,0))</f>
        <v/>
      </c>
      <c r="C36" s="16">
        <f>INDEX('Facts'!$D$2:$D$41,MATCH($A36,'Facts'!$A$2:$A$41,0))</f>
        <v/>
      </c>
      <c r="D36" s="16">
        <f>INDEX('Facts'!$E$2:$E$41,MATCH($A36,'Facts'!$A$2:$A$41,0))</f>
        <v/>
      </c>
      <c r="E36" s="16">
        <f>INDEX('Facts'!$F$2:$F$41,MATCH($A36,'Facts'!$A$2:$A$41,0))</f>
        <v/>
      </c>
      <c r="F36" s="16">
        <f>INDEX('Facts'!$G$2:$G$41,MATCH($A36,'Facts'!$A$2:$A$41,0))</f>
        <v/>
      </c>
      <c r="G36" s="18">
        <f>INDEX('Facts'!$H$2:$H$41,MATCH($A36,'Facts'!$A$2:$A$41,0))</f>
        <v/>
      </c>
      <c r="H36" s="17" t="inlineStr">
        <is>
          <t>APPROVE</t>
        </is>
      </c>
      <c r="I36" s="17" t="inlineStr">
        <is>
          <t>Alex Miller</t>
        </is>
      </c>
      <c r="J36" s="24" t="n">
        <v>46315</v>
      </c>
      <c r="K36" s="17" t="inlineStr">
        <is>
          <t>Confirmed principal language is Bengali via Criterion distributor record.</t>
        </is>
      </c>
      <c r="L36" s="16">
        <f>IF(H36="REJECT","REPLACE",IF(H36="REVISE","REVISE",IF(H36="APPROVE",IF(OR(I36="",NOT(ISNUMBER(J36))),"ADD NAME / DATE","REVIEWED"),"PENDING")))</f>
        <v/>
      </c>
      <c r="M36" s="16">
        <f>'Facts'!B29</f>
        <v/>
      </c>
      <c r="N36" s="16">
        <f>'Facts'!I29</f>
        <v/>
      </c>
      <c r="O36" s="16">
        <f>'Facts'!J29</f>
        <v/>
      </c>
    </row>
    <row r="37" ht="76" customHeight="1">
      <c r="A37" s="16" t="inlineStr">
        <is>
          <t>F40_original_language_09</t>
        </is>
      </c>
      <c r="B37" s="16">
        <f>INDEX('Facts'!$C$2:$C$41,MATCH($A37,'Facts'!$A$2:$A$41,0))</f>
        <v/>
      </c>
      <c r="C37" s="16">
        <f>INDEX('Facts'!$D$2:$D$41,MATCH($A37,'Facts'!$A$2:$A$41,0))</f>
        <v/>
      </c>
      <c r="D37" s="16">
        <f>INDEX('Facts'!$E$2:$E$41,MATCH($A37,'Facts'!$A$2:$A$41,0))</f>
        <v/>
      </c>
      <c r="E37" s="16">
        <f>INDEX('Facts'!$F$2:$F$41,MATCH($A37,'Facts'!$A$2:$A$41,0))</f>
        <v/>
      </c>
      <c r="F37" s="16">
        <f>INDEX('Facts'!$G$2:$G$41,MATCH($A37,'Facts'!$A$2:$A$41,0))</f>
        <v/>
      </c>
      <c r="G37" s="18">
        <f>INDEX('Facts'!$H$2:$H$41,MATCH($A37,'Facts'!$A$2:$A$41,0))</f>
        <v/>
      </c>
      <c r="H37" s="17" t="inlineStr">
        <is>
          <t>APPROVE</t>
        </is>
      </c>
      <c r="I37" s="17" t="inlineStr">
        <is>
          <t>Alex Miller</t>
        </is>
      </c>
      <c r="J37" s="24" t="n">
        <v>46315</v>
      </c>
      <c r="K37" s="17" t="inlineStr">
        <is>
          <t>Confirmed principal language is Russian via Criterion distributor record.</t>
        </is>
      </c>
      <c r="L37" s="16">
        <f>IF(H37="REJECT","REPLACE",IF(H37="REVISE","REVISE",IF(H37="APPROVE",IF(OR(I37="",NOT(ISNUMBER(J37))),"ADD NAME / DATE","REVIEWED"),"PENDING")))</f>
        <v/>
      </c>
      <c r="M37" s="16">
        <f>'Facts'!B30</f>
        <v/>
      </c>
      <c r="N37" s="16">
        <f>'Facts'!I30</f>
        <v/>
      </c>
      <c r="O37" s="16">
        <f>'Facts'!J30</f>
        <v/>
      </c>
    </row>
    <row r="38" ht="76" customHeight="1">
      <c r="A38" s="16" t="inlineStr">
        <is>
          <t>F40_original_language_10</t>
        </is>
      </c>
      <c r="B38" s="16">
        <f>INDEX('Facts'!$C$2:$C$41,MATCH($A38,'Facts'!$A$2:$A$41,0))</f>
        <v/>
      </c>
      <c r="C38" s="16">
        <f>INDEX('Facts'!$D$2:$D$41,MATCH($A38,'Facts'!$A$2:$A$41,0))</f>
        <v/>
      </c>
      <c r="D38" s="16">
        <f>INDEX('Facts'!$E$2:$E$41,MATCH($A38,'Facts'!$A$2:$A$41,0))</f>
        <v/>
      </c>
      <c r="E38" s="16">
        <f>INDEX('Facts'!$F$2:$F$41,MATCH($A38,'Facts'!$A$2:$A$41,0))</f>
        <v/>
      </c>
      <c r="F38" s="16">
        <f>INDEX('Facts'!$G$2:$G$41,MATCH($A38,'Facts'!$A$2:$A$41,0))</f>
        <v/>
      </c>
      <c r="G38" s="18">
        <f>INDEX('Facts'!$H$2:$H$41,MATCH($A38,'Facts'!$A$2:$A$41,0))</f>
        <v/>
      </c>
      <c r="H38" s="17" t="inlineStr">
        <is>
          <t>APPROVE</t>
        </is>
      </c>
      <c r="I38" s="17" t="inlineStr">
        <is>
          <t>Alex Miller</t>
        </is>
      </c>
      <c r="J38" s="24" t="n">
        <v>46315</v>
      </c>
      <c r="K38" s="17" t="inlineStr">
        <is>
          <t>Confirmed principal language is English via Criterion distributor record.</t>
        </is>
      </c>
      <c r="L38" s="16">
        <f>IF(H38="REJECT","REPLACE",IF(H38="REVISE","REVISE",IF(H38="APPROVE",IF(OR(I38="",NOT(ISNUMBER(J38))),"ADD NAME / DATE","REVIEWED"),"PENDING")))</f>
        <v/>
      </c>
      <c r="M38" s="16">
        <f>'Facts'!B31</f>
        <v/>
      </c>
      <c r="N38" s="16">
        <f>'Facts'!I31</f>
        <v/>
      </c>
      <c r="O38" s="16">
        <f>'Facts'!J31</f>
        <v/>
      </c>
    </row>
    <row r="39" ht="76" customHeight="1">
      <c r="A39" s="16" t="inlineStr">
        <is>
          <t>F40_original_network_01</t>
        </is>
      </c>
      <c r="B39" s="16">
        <f>INDEX('Facts'!$C$2:$C$41,MATCH($A39,'Facts'!$A$2:$A$41,0))</f>
        <v/>
      </c>
      <c r="C39" s="16">
        <f>INDEX('Facts'!$D$2:$D$41,MATCH($A39,'Facts'!$A$2:$A$41,0))</f>
        <v/>
      </c>
      <c r="D39" s="16">
        <f>INDEX('Facts'!$E$2:$E$41,MATCH($A39,'Facts'!$A$2:$A$41,0))</f>
        <v/>
      </c>
      <c r="E39" s="16">
        <f>INDEX('Facts'!$F$2:$F$41,MATCH($A39,'Facts'!$A$2:$A$41,0))</f>
        <v/>
      </c>
      <c r="F39" s="16">
        <f>INDEX('Facts'!$G$2:$G$41,MATCH($A39,'Facts'!$A$2:$A$41,0))</f>
        <v/>
      </c>
      <c r="G39" s="18">
        <f>INDEX('Facts'!$H$2:$H$41,MATCH($A39,'Facts'!$A$2:$A$41,0))</f>
        <v/>
      </c>
      <c r="H39" s="17" t="inlineStr">
        <is>
          <t>APPROVE</t>
        </is>
      </c>
      <c r="I39" s="17" t="inlineStr">
        <is>
          <t>Alex Miller</t>
        </is>
      </c>
      <c r="J39" s="24" t="n">
        <v>46315</v>
      </c>
      <c r="K39" s="17" t="inlineStr">
        <is>
          <t>Confirmed original US premiere on AMC (January 2008) via network release.</t>
        </is>
      </c>
      <c r="L39" s="16">
        <f>IF(H39="REJECT","REPLACE",IF(H39="REVISE","REVISE",IF(H39="APPROVE",IF(OR(I39="",NOT(ISNUMBER(J39))),"ADD NAME / DATE","REVIEWED"),"PENDING")))</f>
        <v/>
      </c>
      <c r="M39" s="16">
        <f>'Facts'!B32</f>
        <v/>
      </c>
      <c r="N39" s="16">
        <f>'Facts'!I32</f>
        <v/>
      </c>
      <c r="O39" s="16">
        <f>'Facts'!J32</f>
        <v/>
      </c>
    </row>
    <row r="40" ht="76" customHeight="1">
      <c r="A40" s="16" t="inlineStr">
        <is>
          <t>F40_original_network_02</t>
        </is>
      </c>
      <c r="B40" s="16">
        <f>INDEX('Facts'!$C$2:$C$41,MATCH($A40,'Facts'!$A$2:$A$41,0))</f>
        <v/>
      </c>
      <c r="C40" s="16">
        <f>INDEX('Facts'!$D$2:$D$41,MATCH($A40,'Facts'!$A$2:$A$41,0))</f>
        <v/>
      </c>
      <c r="D40" s="16">
        <f>INDEX('Facts'!$E$2:$E$41,MATCH($A40,'Facts'!$A$2:$A$41,0))</f>
        <v/>
      </c>
      <c r="E40" s="16">
        <f>INDEX('Facts'!$F$2:$F$41,MATCH($A40,'Facts'!$A$2:$A$41,0))</f>
        <v/>
      </c>
      <c r="F40" s="16">
        <f>INDEX('Facts'!$G$2:$G$41,MATCH($A40,'Facts'!$A$2:$A$41,0))</f>
        <v/>
      </c>
      <c r="G40" s="18">
        <f>INDEX('Facts'!$H$2:$H$41,MATCH($A40,'Facts'!$A$2:$A$41,0))</f>
        <v/>
      </c>
      <c r="H40" s="17" t="inlineStr">
        <is>
          <t>APPROVE</t>
        </is>
      </c>
      <c r="I40" s="17" t="inlineStr">
        <is>
          <t>Alex Miller</t>
        </is>
      </c>
      <c r="J40" s="24" t="n">
        <v>46315</v>
      </c>
      <c r="K40" s="17" t="inlineStr">
        <is>
          <t>Confirmed original US debut on AMC (July 2007) via network release.</t>
        </is>
      </c>
      <c r="L40" s="16">
        <f>IF(H40="REJECT","REPLACE",IF(H40="REVISE","REVISE",IF(H40="APPROVE",IF(OR(I40="",NOT(ISNUMBER(J40))),"ADD NAME / DATE","REVIEWED"),"PENDING")))</f>
        <v/>
      </c>
      <c r="M40" s="16">
        <f>'Facts'!B33</f>
        <v/>
      </c>
      <c r="N40" s="16">
        <f>'Facts'!I33</f>
        <v/>
      </c>
      <c r="O40" s="16">
        <f>'Facts'!J33</f>
        <v/>
      </c>
    </row>
    <row r="41" ht="76" customHeight="1">
      <c r="A41" s="16" t="inlineStr">
        <is>
          <t>F40_original_network_03</t>
        </is>
      </c>
      <c r="B41" s="16">
        <f>INDEX('Facts'!$C$2:$C$41,MATCH($A41,'Facts'!$A$2:$A$41,0))</f>
        <v/>
      </c>
      <c r="C41" s="16">
        <f>INDEX('Facts'!$D$2:$D$41,MATCH($A41,'Facts'!$A$2:$A$41,0))</f>
        <v/>
      </c>
      <c r="D41" s="16">
        <f>INDEX('Facts'!$E$2:$E$41,MATCH($A41,'Facts'!$A$2:$A$41,0))</f>
        <v/>
      </c>
      <c r="E41" s="16">
        <f>INDEX('Facts'!$F$2:$F$41,MATCH($A41,'Facts'!$A$2:$A$41,0))</f>
        <v/>
      </c>
      <c r="F41" s="16">
        <f>INDEX('Facts'!$G$2:$G$41,MATCH($A41,'Facts'!$A$2:$A$41,0))</f>
        <v/>
      </c>
      <c r="G41" s="18">
        <f>INDEX('Facts'!$H$2:$H$41,MATCH($A41,'Facts'!$A$2:$A$41,0))</f>
        <v/>
      </c>
      <c r="H41" s="17" t="inlineStr">
        <is>
          <t>APPROVE</t>
        </is>
      </c>
      <c r="I41" s="17" t="inlineStr">
        <is>
          <t>Alex Miller</t>
        </is>
      </c>
      <c r="J41" s="24" t="n">
        <v>46315</v>
      </c>
      <c r="K41" s="17" t="inlineStr">
        <is>
          <t>Confirmed original US broadcast on AMC (October 2010); international Fox runs excluded.</t>
        </is>
      </c>
      <c r="L41" s="16">
        <f>IF(H41="REJECT","REPLACE",IF(H41="REVISE","REVISE",IF(H41="APPROVE",IF(OR(I41="",NOT(ISNUMBER(J41))),"ADD NAME / DATE","REVIEWED"),"PENDING")))</f>
        <v/>
      </c>
      <c r="M41" s="16">
        <f>'Facts'!B34</f>
        <v/>
      </c>
      <c r="N41" s="16">
        <f>'Facts'!I34</f>
        <v/>
      </c>
      <c r="O41" s="16">
        <f>'Facts'!J34</f>
        <v/>
      </c>
    </row>
    <row r="42" ht="76" customHeight="1">
      <c r="A42" s="16" t="inlineStr">
        <is>
          <t>F40_original_network_04</t>
        </is>
      </c>
      <c r="B42" s="16">
        <f>INDEX('Facts'!$C$2:$C$41,MATCH($A42,'Facts'!$A$2:$A$41,0))</f>
        <v/>
      </c>
      <c r="C42" s="16">
        <f>INDEX('Facts'!$D$2:$D$41,MATCH($A42,'Facts'!$A$2:$A$41,0))</f>
        <v/>
      </c>
      <c r="D42" s="16">
        <f>INDEX('Facts'!$E$2:$E$41,MATCH($A42,'Facts'!$A$2:$A$41,0))</f>
        <v/>
      </c>
      <c r="E42" s="16">
        <f>INDEX('Facts'!$F$2:$F$41,MATCH($A42,'Facts'!$A$2:$A$41,0))</f>
        <v/>
      </c>
      <c r="F42" s="16">
        <f>INDEX('Facts'!$G$2:$G$41,MATCH($A42,'Facts'!$A$2:$A$41,0))</f>
        <v/>
      </c>
      <c r="G42" s="18">
        <f>INDEX('Facts'!$H$2:$H$41,MATCH($A42,'Facts'!$A$2:$A$41,0))</f>
        <v/>
      </c>
      <c r="H42" s="17" t="inlineStr">
        <is>
          <t>APPROVE</t>
        </is>
      </c>
      <c r="I42" s="17" t="inlineStr">
        <is>
          <t>Alex Miller</t>
        </is>
      </c>
      <c r="J42" s="24" t="n">
        <v>46315</v>
      </c>
      <c r="K42" s="17" t="inlineStr">
        <is>
          <t>Confirmed original US broadcast on HBO (premiered Jan 10, 1999); verified against primary archival records.</t>
        </is>
      </c>
      <c r="L42" s="16">
        <f>IF(H42="REJECT","REPLACE",IF(H42="REVISE","REVISE",IF(H42="APPROVE",IF(OR(I42="",NOT(ISNUMBER(J42))),"ADD NAME / DATE","REVIEWED"),"PENDING")))</f>
        <v/>
      </c>
      <c r="M42" s="16">
        <f>'Facts'!B35</f>
        <v/>
      </c>
      <c r="N42" s="16">
        <f>'Facts'!I35</f>
        <v/>
      </c>
      <c r="O42" s="16">
        <f>'Facts'!J35</f>
        <v/>
      </c>
    </row>
    <row r="43" ht="76" customHeight="1">
      <c r="A43" s="16" t="inlineStr">
        <is>
          <t>F40_original_network_05</t>
        </is>
      </c>
      <c r="B43" s="16">
        <f>INDEX('Facts'!$C$2:$C$41,MATCH($A43,'Facts'!$A$2:$A$41,0))</f>
        <v/>
      </c>
      <c r="C43" s="16">
        <f>INDEX('Facts'!$D$2:$D$41,MATCH($A43,'Facts'!$A$2:$A$41,0))</f>
        <v/>
      </c>
      <c r="D43" s="16">
        <f>INDEX('Facts'!$E$2:$E$41,MATCH($A43,'Facts'!$A$2:$A$41,0))</f>
        <v/>
      </c>
      <c r="E43" s="16">
        <f>INDEX('Facts'!$F$2:$F$41,MATCH($A43,'Facts'!$A$2:$A$41,0))</f>
        <v/>
      </c>
      <c r="F43" s="16">
        <f>INDEX('Facts'!$G$2:$G$41,MATCH($A43,'Facts'!$A$2:$A$41,0))</f>
        <v/>
      </c>
      <c r="G43" s="18">
        <f>INDEX('Facts'!$H$2:$H$41,MATCH($A43,'Facts'!$A$2:$A$41,0))</f>
        <v/>
      </c>
      <c r="H43" s="17" t="inlineStr">
        <is>
          <t>APPROVE</t>
        </is>
      </c>
      <c r="I43" s="17" t="inlineStr">
        <is>
          <t>Alex Miller</t>
        </is>
      </c>
      <c r="J43" s="24" t="n">
        <v>46315</v>
      </c>
      <c r="K43" s="17" t="inlineStr">
        <is>
          <t>Confirmed original US broadcast on HBO (premiered June 2, 2002); verified against primary archival records.</t>
        </is>
      </c>
      <c r="L43" s="16">
        <f>IF(H43="REJECT","REPLACE",IF(H43="REVISE","REVISE",IF(H43="APPROVE",IF(OR(I43="",NOT(ISNUMBER(J43))),"ADD NAME / DATE","REVIEWED"),"PENDING")))</f>
        <v/>
      </c>
      <c r="M43" s="16">
        <f>'Facts'!B36</f>
        <v/>
      </c>
      <c r="N43" s="16">
        <f>'Facts'!I36</f>
        <v/>
      </c>
      <c r="O43" s="16">
        <f>'Facts'!J36</f>
        <v/>
      </c>
    </row>
    <row r="44" ht="76" customHeight="1">
      <c r="A44" s="16" t="inlineStr">
        <is>
          <t>F40_original_network_06</t>
        </is>
      </c>
      <c r="B44" s="16">
        <f>INDEX('Facts'!$C$2:$C$41,MATCH($A44,'Facts'!$A$2:$A$41,0))</f>
        <v/>
      </c>
      <c r="C44" s="16">
        <f>INDEX('Facts'!$D$2:$D$41,MATCH($A44,'Facts'!$A$2:$A$41,0))</f>
        <v/>
      </c>
      <c r="D44" s="16">
        <f>INDEX('Facts'!$E$2:$E$41,MATCH($A44,'Facts'!$A$2:$A$41,0))</f>
        <v/>
      </c>
      <c r="E44" s="16">
        <f>INDEX('Facts'!$F$2:$F$41,MATCH($A44,'Facts'!$A$2:$A$41,0))</f>
        <v/>
      </c>
      <c r="F44" s="16">
        <f>INDEX('Facts'!$G$2:$G$41,MATCH($A44,'Facts'!$A$2:$A$41,0))</f>
        <v/>
      </c>
      <c r="G44" s="18">
        <f>INDEX('Facts'!$H$2:$H$41,MATCH($A44,'Facts'!$A$2:$A$41,0))</f>
        <v/>
      </c>
      <c r="H44" s="17" t="inlineStr">
        <is>
          <t>APPROVE</t>
        </is>
      </c>
      <c r="I44" s="17" t="inlineStr">
        <is>
          <t>Alex Miller</t>
        </is>
      </c>
      <c r="J44" s="24" t="n">
        <v>46315</v>
      </c>
      <c r="K44" s="17" t="inlineStr">
        <is>
          <t>Confirmed original US premiere on NBC (September 1994) via official network timeline.</t>
        </is>
      </c>
      <c r="L44" s="16">
        <f>IF(H44="REJECT","REPLACE",IF(H44="REVISE","REVISE",IF(H44="APPROVE",IF(OR(I44="",NOT(ISNUMBER(J44))),"ADD NAME / DATE","REVIEWED"),"PENDING")))</f>
        <v/>
      </c>
      <c r="M44" s="16">
        <f>'Facts'!B37</f>
        <v/>
      </c>
      <c r="N44" s="16">
        <f>'Facts'!I37</f>
        <v/>
      </c>
      <c r="O44" s="16">
        <f>'Facts'!J37</f>
        <v/>
      </c>
    </row>
    <row r="45" ht="76" customHeight="1">
      <c r="A45" s="16" t="inlineStr">
        <is>
          <t>F40_original_network_07</t>
        </is>
      </c>
      <c r="B45" s="16">
        <f>INDEX('Facts'!$C$2:$C$41,MATCH($A45,'Facts'!$A$2:$A$41,0))</f>
        <v/>
      </c>
      <c r="C45" s="16">
        <f>INDEX('Facts'!$D$2:$D$41,MATCH($A45,'Facts'!$A$2:$A$41,0))</f>
        <v/>
      </c>
      <c r="D45" s="16">
        <f>INDEX('Facts'!$E$2:$E$41,MATCH($A45,'Facts'!$A$2:$A$41,0))</f>
        <v/>
      </c>
      <c r="E45" s="16">
        <f>INDEX('Facts'!$F$2:$F$41,MATCH($A45,'Facts'!$A$2:$A$41,0))</f>
        <v/>
      </c>
      <c r="F45" s="16">
        <f>INDEX('Facts'!$G$2:$G$41,MATCH($A45,'Facts'!$A$2:$A$41,0))</f>
        <v/>
      </c>
      <c r="G45" s="18">
        <f>INDEX('Facts'!$H$2:$H$41,MATCH($A45,'Facts'!$A$2:$A$41,0))</f>
        <v/>
      </c>
      <c r="H45" s="17" t="inlineStr">
        <is>
          <t>APPROVE</t>
        </is>
      </c>
      <c r="I45" s="17" t="inlineStr">
        <is>
          <t>Alex Miller</t>
        </is>
      </c>
      <c r="J45" s="24" t="n">
        <v>46315</v>
      </c>
      <c r="K45" s="17" t="inlineStr">
        <is>
          <t>Confirmed debut on NBC (July 1989 pilot) via official network timeline.</t>
        </is>
      </c>
      <c r="L45" s="16">
        <f>IF(H45="REJECT","REPLACE",IF(H45="REVISE","REVISE",IF(H45="APPROVE",IF(OR(I45="",NOT(ISNUMBER(J45))),"ADD NAME / DATE","REVIEWED"),"PENDING")))</f>
        <v/>
      </c>
      <c r="M45" s="16">
        <f>'Facts'!B38</f>
        <v/>
      </c>
      <c r="N45" s="16">
        <f>'Facts'!I38</f>
        <v/>
      </c>
      <c r="O45" s="16">
        <f>'Facts'!J38</f>
        <v/>
      </c>
    </row>
    <row r="46" ht="76" customHeight="1">
      <c r="A46" s="16" t="inlineStr">
        <is>
          <t>F40_original_network_08</t>
        </is>
      </c>
      <c r="B46" s="16">
        <f>INDEX('Facts'!$C$2:$C$41,MATCH($A46,'Facts'!$A$2:$A$41,0))</f>
        <v/>
      </c>
      <c r="C46" s="16">
        <f>INDEX('Facts'!$D$2:$D$41,MATCH($A46,'Facts'!$A$2:$A$41,0))</f>
        <v/>
      </c>
      <c r="D46" s="16">
        <f>INDEX('Facts'!$E$2:$E$41,MATCH($A46,'Facts'!$A$2:$A$41,0))</f>
        <v/>
      </c>
      <c r="E46" s="16">
        <f>INDEX('Facts'!$F$2:$F$41,MATCH($A46,'Facts'!$A$2:$A$41,0))</f>
        <v/>
      </c>
      <c r="F46" s="16">
        <f>INDEX('Facts'!$G$2:$G$41,MATCH($A46,'Facts'!$A$2:$A$41,0))</f>
        <v/>
      </c>
      <c r="G46" s="18">
        <f>INDEX('Facts'!$H$2:$H$41,MATCH($A46,'Facts'!$A$2:$A$41,0))</f>
        <v/>
      </c>
      <c r="H46" s="17" t="inlineStr">
        <is>
          <t>APPROVE</t>
        </is>
      </c>
      <c r="I46" s="17" t="inlineStr">
        <is>
          <t>Alex Miller</t>
        </is>
      </c>
      <c r="J46" s="24" t="n">
        <v>46315</v>
      </c>
      <c r="K46" s="17" t="inlineStr">
        <is>
          <t>Confirmed US adaptation premiere on NBC (March 2005); UK original excluded.</t>
        </is>
      </c>
      <c r="L46" s="16">
        <f>IF(H46="REJECT","REPLACE",IF(H46="REVISE","REVISE",IF(H46="APPROVE",IF(OR(I46="",NOT(ISNUMBER(J46))),"ADD NAME / DATE","REVIEWED"),"PENDING")))</f>
        <v/>
      </c>
      <c r="M46" s="16">
        <f>'Facts'!B39</f>
        <v/>
      </c>
      <c r="N46" s="16">
        <f>'Facts'!I39</f>
        <v/>
      </c>
      <c r="O46" s="16">
        <f>'Facts'!J39</f>
        <v/>
      </c>
    </row>
    <row r="47" ht="76" customHeight="1">
      <c r="A47" s="16" t="inlineStr">
        <is>
          <t>F40_original_network_09</t>
        </is>
      </c>
      <c r="B47" s="16">
        <f>INDEX('Facts'!$C$2:$C$41,MATCH($A47,'Facts'!$A$2:$A$41,0))</f>
        <v/>
      </c>
      <c r="C47" s="16">
        <f>INDEX('Facts'!$D$2:$D$41,MATCH($A47,'Facts'!$A$2:$A$41,0))</f>
        <v/>
      </c>
      <c r="D47" s="16">
        <f>INDEX('Facts'!$E$2:$E$41,MATCH($A47,'Facts'!$A$2:$A$41,0))</f>
        <v/>
      </c>
      <c r="E47" s="16">
        <f>INDEX('Facts'!$F$2:$F$41,MATCH($A47,'Facts'!$A$2:$A$41,0))</f>
        <v/>
      </c>
      <c r="F47" s="16">
        <f>INDEX('Facts'!$G$2:$G$41,MATCH($A47,'Facts'!$A$2:$A$41,0))</f>
        <v/>
      </c>
      <c r="G47" s="18">
        <f>INDEX('Facts'!$H$2:$H$41,MATCH($A47,'Facts'!$A$2:$A$41,0))</f>
        <v/>
      </c>
      <c r="H47" s="17" t="inlineStr">
        <is>
          <t>APPROVE</t>
        </is>
      </c>
      <c r="I47" s="17" t="inlineStr">
        <is>
          <t>Alex Miller</t>
        </is>
      </c>
      <c r="J47" s="24" t="n">
        <v>46315</v>
      </c>
      <c r="K47" s="17" t="inlineStr">
        <is>
          <t>Confirmed original US broadcast on CBS (September 2007) via Paramount Press Express.</t>
        </is>
      </c>
      <c r="L47" s="16">
        <f>IF(H47="REJECT","REPLACE",IF(H47="REVISE","REVISE",IF(H47="APPROVE",IF(OR(I47="",NOT(ISNUMBER(J47))),"ADD NAME / DATE","REVIEWED"),"PENDING")))</f>
        <v/>
      </c>
      <c r="M47" s="16">
        <f>'Facts'!B40</f>
        <v/>
      </c>
      <c r="N47" s="16">
        <f>'Facts'!I40</f>
        <v/>
      </c>
      <c r="O47" s="16">
        <f>'Facts'!J40</f>
        <v/>
      </c>
    </row>
    <row r="48" ht="76" customHeight="1">
      <c r="A48" s="16" t="inlineStr">
        <is>
          <t>F40_original_network_10</t>
        </is>
      </c>
      <c r="B48" s="16">
        <f>INDEX('Facts'!$C$2:$C$41,MATCH($A48,'Facts'!$A$2:$A$41,0))</f>
        <v/>
      </c>
      <c r="C48" s="16">
        <f>INDEX('Facts'!$D$2:$D$41,MATCH($A48,'Facts'!$A$2:$A$41,0))</f>
        <v/>
      </c>
      <c r="D48" s="16">
        <f>INDEX('Facts'!$E$2:$E$41,MATCH($A48,'Facts'!$A$2:$A$41,0))</f>
        <v/>
      </c>
      <c r="E48" s="16">
        <f>INDEX('Facts'!$F$2:$F$41,MATCH($A48,'Facts'!$A$2:$A$41,0))</f>
        <v/>
      </c>
      <c r="F48" s="16">
        <f>INDEX('Facts'!$G$2:$G$41,MATCH($A48,'Facts'!$A$2:$A$41,0))</f>
        <v/>
      </c>
      <c r="G48" s="18">
        <f>INDEX('Facts'!$H$2:$H$41,MATCH($A48,'Facts'!$A$2:$A$41,0))</f>
        <v/>
      </c>
      <c r="H48" s="17" t="inlineStr">
        <is>
          <t>APPROVE</t>
        </is>
      </c>
      <c r="I48" s="17" t="inlineStr">
        <is>
          <t>Alex Miller</t>
        </is>
      </c>
      <c r="J48" s="24" t="n">
        <v>46315</v>
      </c>
      <c r="K48" s="17" t="inlineStr">
        <is>
          <t>Confirmed original US premiere on CBS (September 2009) via Paramount Press Express.</t>
        </is>
      </c>
      <c r="L48" s="16">
        <f>IF(H48="REJECT","REPLACE",IF(H48="REVISE","REVISE",IF(H48="APPROVE",IF(OR(I48="",NOT(ISNUMBER(J48))),"ADD NAME / DATE","REVIEWED"),"PENDING")))</f>
        <v/>
      </c>
      <c r="M48" s="16">
        <f>'Facts'!B41</f>
        <v/>
      </c>
      <c r="N48" s="16">
        <f>'Facts'!I41</f>
        <v/>
      </c>
      <c r="O48" s="16">
        <f>'Facts'!J41</f>
        <v/>
      </c>
    </row>
    <row r="49">
      <c r="A49" s="2" t="n"/>
      <c r="B49" s="2" t="n"/>
      <c r="C49" s="2" t="n"/>
      <c r="D49" s="2" t="n"/>
      <c r="E49" s="2" t="n"/>
      <c r="F49" s="2" t="n"/>
      <c r="G49" s="2" t="n"/>
      <c r="H49" s="2" t="n"/>
      <c r="I49" s="2" t="n"/>
      <c r="J49" s="2" t="n"/>
      <c r="K49" s="2" t="n"/>
      <c r="L49" s="2" t="n"/>
      <c r="M49" s="2" t="n"/>
      <c r="N49" s="2" t="n"/>
      <c r="O49" s="2" t="n"/>
    </row>
  </sheetData>
  <conditionalFormatting sqref="L9:L48">
    <cfRule type="containsText" priority="1" operator="containsText" dxfId="0" text="REPLACE"/>
    <cfRule type="containsText" priority="2" operator="containsText" dxfId="0" text="REVISE"/>
    <cfRule type="containsText" priority="3" operator="containsText" dxfId="2" text="ADD NAME"/>
  </conditionalFormatting>
  <dataValidations count="1">
    <dataValidation sqref="H9:H48" showDropDown="0" showInputMessage="0" showErrorMessage="0" allowBlank="0" type="list">
      <formula1>"PENDING,APPROVE,REVISE,REJECT"</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41"/>
  <sheetViews>
    <sheetView showGridLines="0" workbookViewId="0">
      <pane xSplit="3" ySplit="1" topLeftCell="D2" activePane="bottomRight" state="frozen"/>
      <selection activeCell="A1" sqref="A1"/>
    </sheetView>
  </sheetViews>
  <sheetFormatPr baseColWidth="8" defaultRowHeight="15"/>
  <cols>
    <col width="29" customWidth="1" min="1" max="1"/>
    <col width="23" customWidth="1" min="2" max="2"/>
    <col width="31" customWidth="1" min="3" max="3"/>
    <col width="64" customWidth="1" min="4" max="4"/>
    <col width="24" customWidth="1" min="5" max="5"/>
    <col width="24" customWidth="1" min="6" max="6"/>
    <col width="24" customWidth="1" min="7" max="7"/>
    <col width="72" customWidth="1" min="8" max="8"/>
    <col width="85" customWidth="1" min="9" max="9"/>
    <col width="42" customWidth="1" min="10" max="10"/>
    <col width="15" customWidth="1" min="11" max="11"/>
    <col width="72" customWidth="1" min="12" max="12"/>
    <col width="45" customWidth="1" min="13" max="13"/>
    <col width="28" customWidth="1" min="14" max="14"/>
    <col width="58" customWidth="1" min="15" max="15"/>
    <col width="66" customWidth="1" min="16" max="16"/>
    <col width="44" customWidth="1" min="17" max="17"/>
  </cols>
  <sheetData>
    <row r="1" ht="32" customHeight="1">
      <c r="A1" s="8" t="inlineStr">
        <is>
          <t>item_id</t>
        </is>
      </c>
      <c r="B1" s="8" t="inlineStr">
        <is>
          <t>relation</t>
        </is>
      </c>
      <c r="C1" s="8" t="inlineStr">
        <is>
          <t>subject</t>
        </is>
      </c>
      <c r="D1" s="8" t="inlineStr">
        <is>
          <t>question</t>
        </is>
      </c>
      <c r="E1" s="8" t="inlineStr">
        <is>
          <t>parametric_answer</t>
        </is>
      </c>
      <c r="F1" s="8" t="inlineStr">
        <is>
          <t>counterfactual_answer</t>
        </is>
      </c>
      <c r="G1" s="8" t="inlineStr">
        <is>
          <t>irrelevant_answer</t>
        </is>
      </c>
      <c r="H1" s="8" t="inlineStr">
        <is>
          <t>primary_source_url</t>
        </is>
      </c>
      <c r="I1" s="8" t="inlineStr">
        <is>
          <t>source_note</t>
        </is>
      </c>
      <c r="J1" s="8" t="inlineStr">
        <is>
          <t>ai_source_status</t>
        </is>
      </c>
      <c r="K1" s="8" t="inlineStr">
        <is>
          <t>retrieved_date</t>
        </is>
      </c>
      <c r="L1" s="8" t="inlineStr">
        <is>
          <t>secondary_source_url</t>
        </is>
      </c>
      <c r="M1" s="8" t="inlineStr">
        <is>
          <t>subject_aliases</t>
        </is>
      </c>
      <c r="N1" s="8" t="inlineStr">
        <is>
          <t>group_id</t>
        </is>
      </c>
      <c r="O1" s="8" t="inlineStr">
        <is>
          <t>source_subject_uri</t>
        </is>
      </c>
      <c r="P1" s="8" t="inlineStr">
        <is>
          <t>overlap_check</t>
        </is>
      </c>
      <c r="Q1" s="8" t="inlineStr">
        <is>
          <t>selection</t>
        </is>
      </c>
    </row>
    <row r="2" ht="80" customHeight="1">
      <c r="A2" s="14" t="inlineStr">
        <is>
          <t>F40_developer_01</t>
        </is>
      </c>
      <c r="B2" s="14" t="inlineStr">
        <is>
          <t>developer</t>
        </is>
      </c>
      <c r="C2" s="14" t="inlineStr">
        <is>
          <t>Python (programming language)</t>
        </is>
      </c>
      <c r="D2" s="14" t="inlineStr">
        <is>
          <t>Which person originally developed Python (programming language)?</t>
        </is>
      </c>
      <c r="E2" s="14" t="inlineStr">
        <is>
          <t>Guido van Rossum</t>
        </is>
      </c>
      <c r="F2" s="14" t="inlineStr">
        <is>
          <t>David Cournapeau</t>
        </is>
      </c>
      <c r="G2" s="14" t="inlineStr">
        <is>
          <t>Larry Wall</t>
        </is>
      </c>
      <c r="H2" s="14" t="inlineStr">
        <is>
          <t>https://docs.python.org/3/license.html</t>
        </is>
      </c>
      <c r="I2" s="14" t="inlineStr">
        <is>
          <t>History of the software identifies Guido van Rossum as the creator and principal author.</t>
        </is>
      </c>
      <c r="J2" s="14" t="inlineStr">
        <is>
          <t>FULL_TEXT_SUPPORT</t>
        </is>
      </c>
      <c r="K2" s="25" t="n">
        <v>46315</v>
      </c>
      <c r="L2" s="14" t="str"/>
      <c r="M2" s="14" t="inlineStr">
        <is>
          <t>Python</t>
        </is>
      </c>
      <c r="N2" s="14" t="inlineStr">
        <is>
          <t>bb5a3acffa00025c2db2</t>
        </is>
      </c>
      <c r="O2" s="14" t="inlineStr">
        <is>
          <t>urn:csra:fresh40:subject:bd8f960b0aed588049e6</t>
        </is>
      </c>
      <c r="P2" s="14" t="inlineStr">
        <is>
          <t>NO SUBJECT/ALIAS OR FULL UNORDERED TRIPLE MATCH FOUND</t>
        </is>
      </c>
      <c r="Q2" s="14" t="inlineStr">
        <is>
          <t>PURPOSIVE_QUALIFICATION_CANDIDATE</t>
        </is>
      </c>
    </row>
    <row r="3" ht="80" customHeight="1">
      <c r="A3" s="14" t="inlineStr">
        <is>
          <t>F40_developer_02</t>
        </is>
      </c>
      <c r="B3" s="14" t="inlineStr">
        <is>
          <t>developer</t>
        </is>
      </c>
      <c r="C3" s="14" t="inlineStr">
        <is>
          <t>PHP</t>
        </is>
      </c>
      <c r="D3" s="14" t="inlineStr">
        <is>
          <t>Which person originally developed PHP?</t>
        </is>
      </c>
      <c r="E3" s="14" t="inlineStr">
        <is>
          <t>Rasmus Lerdorf</t>
        </is>
      </c>
      <c r="F3" s="14" t="inlineStr">
        <is>
          <t>David Cournapeau</t>
        </is>
      </c>
      <c r="G3" s="14" t="inlineStr">
        <is>
          <t>Guido van Rossum</t>
        </is>
      </c>
      <c r="H3" s="14" t="inlineStr">
        <is>
          <t>https://www.php.net/manual/en/history.php.php</t>
        </is>
      </c>
      <c r="I3" s="14" t="inlineStr">
        <is>
          <t>History of PHP identifies Rasmus Lerdorf as creator of the initial 1994 implementation.</t>
        </is>
      </c>
      <c r="J3" s="14" t="inlineStr">
        <is>
          <t>FULL_TEXT_SUPPORT</t>
        </is>
      </c>
      <c r="K3" s="25" t="n">
        <v>46315</v>
      </c>
      <c r="L3" s="14" t="str"/>
      <c r="M3" s="14" t="str"/>
      <c r="N3" s="14" t="inlineStr">
        <is>
          <t>6f3a739f5eaa4b3e47fe</t>
        </is>
      </c>
      <c r="O3" s="14" t="inlineStr">
        <is>
          <t>urn:csra:fresh40:subject:12a5d18ee896e59954bd</t>
        </is>
      </c>
      <c r="P3" s="14" t="inlineStr">
        <is>
          <t>NO SUBJECT/ALIAS OR FULL UNORDERED TRIPLE MATCH FOUND</t>
        </is>
      </c>
      <c r="Q3" s="14" t="inlineStr">
        <is>
          <t>PURPOSIVE_QUALIFICATION_CANDIDATE</t>
        </is>
      </c>
    </row>
    <row r="4" ht="80" customHeight="1">
      <c r="A4" s="14" t="inlineStr">
        <is>
          <t>F40_developer_03</t>
        </is>
      </c>
      <c r="B4" s="14" t="inlineStr">
        <is>
          <t>developer</t>
        </is>
      </c>
      <c r="C4" s="14" t="inlineStr">
        <is>
          <t>SQLite</t>
        </is>
      </c>
      <c r="D4" s="14" t="inlineStr">
        <is>
          <t>Which person originally developed SQLite?</t>
        </is>
      </c>
      <c r="E4" s="14" t="inlineStr">
        <is>
          <t>D. Richard Hipp</t>
        </is>
      </c>
      <c r="F4" s="14" t="inlineStr">
        <is>
          <t>Yukihiro Matsumoto</t>
        </is>
      </c>
      <c r="G4" s="14" t="inlineStr">
        <is>
          <t>Daniel Stenberg</t>
        </is>
      </c>
      <c r="H4" s="14" t="inlineStr">
        <is>
          <t>https://sqlite.org/lemon.html</t>
        </is>
      </c>
      <c r="I4" s="14" t="inlineStr">
        <is>
          <t>History of Lemon explicitly identifies D. Richard Hipp as the creator of SQLite.</t>
        </is>
      </c>
      <c r="J4" s="14" t="inlineStr">
        <is>
          <t>FULL_TEXT_SUPPORT</t>
        </is>
      </c>
      <c r="K4" s="25" t="n">
        <v>46315</v>
      </c>
      <c r="L4" s="14" t="str"/>
      <c r="M4" s="14" t="str"/>
      <c r="N4" s="14" t="inlineStr">
        <is>
          <t>e4bdad549c06e48cd08c</t>
        </is>
      </c>
      <c r="O4" s="14" t="inlineStr">
        <is>
          <t>urn:csra:fresh40:subject:0cd8666848bf286d951c</t>
        </is>
      </c>
      <c r="P4" s="14" t="inlineStr">
        <is>
          <t>NO SUBJECT/ALIAS OR FULL UNORDERED TRIPLE MATCH FOUND</t>
        </is>
      </c>
      <c r="Q4" s="14" t="inlineStr">
        <is>
          <t>PURPOSIVE_QUALIFICATION_CANDIDATE</t>
        </is>
      </c>
    </row>
    <row r="5" ht="80" customHeight="1">
      <c r="A5" s="14" t="inlineStr">
        <is>
          <t>F40_developer_04</t>
        </is>
      </c>
      <c r="B5" s="14" t="inlineStr">
        <is>
          <t>developer</t>
        </is>
      </c>
      <c r="C5" s="14" t="inlineStr">
        <is>
          <t>scikit-learn</t>
        </is>
      </c>
      <c r="D5" s="14" t="inlineStr">
        <is>
          <t>Which person initiated the scikit-learn project in 2007?</t>
        </is>
      </c>
      <c r="E5" s="14" t="inlineStr">
        <is>
          <t>David Cournapeau</t>
        </is>
      </c>
      <c r="F5" s="14" t="inlineStr">
        <is>
          <t>Wes McKinney</t>
        </is>
      </c>
      <c r="G5" s="14" t="inlineStr">
        <is>
          <t>Bjarne Stroustrup</t>
        </is>
      </c>
      <c r="H5" s="14" t="inlineStr">
        <is>
          <t>https://scikit-learn.org/stable/about.html</t>
        </is>
      </c>
      <c r="I5" s="14" t="inlineStr">
        <is>
          <t>History identifies David Cournapeau as the person who started the project in 2007. Later releases had additional leaders.</t>
        </is>
      </c>
      <c r="J5" s="14" t="inlineStr">
        <is>
          <t>FULL_TEXT_SUPPORT</t>
        </is>
      </c>
      <c r="K5" s="25" t="n">
        <v>46315</v>
      </c>
      <c r="L5" s="14" t="str"/>
      <c r="M5" s="14" t="inlineStr">
        <is>
          <t>scikit learn; sklearn</t>
        </is>
      </c>
      <c r="N5" s="14" t="inlineStr">
        <is>
          <t>e39450113a091bcded81</t>
        </is>
      </c>
      <c r="O5" s="14" t="inlineStr">
        <is>
          <t>urn:csra:fresh40:subject:197b0ff11cd452f01099</t>
        </is>
      </c>
      <c r="P5" s="14" t="inlineStr">
        <is>
          <t>NO SUBJECT/ALIAS OR FULL UNORDERED TRIPLE MATCH FOUND</t>
        </is>
      </c>
      <c r="Q5" s="14" t="inlineStr">
        <is>
          <t>PURPOSIVE_QUALIFICATION_CANDIDATE</t>
        </is>
      </c>
    </row>
    <row r="6" ht="80" customHeight="1">
      <c r="A6" s="14" t="inlineStr">
        <is>
          <t>F40_developer_05</t>
        </is>
      </c>
      <c r="B6" s="14" t="inlineStr">
        <is>
          <t>developer</t>
        </is>
      </c>
      <c r="C6" s="14" t="inlineStr">
        <is>
          <t>Ruby (programming language)</t>
        </is>
      </c>
      <c r="D6" s="14" t="inlineStr">
        <is>
          <t>Which person originally developed Ruby (programming language)?</t>
        </is>
      </c>
      <c r="E6" s="14" t="inlineStr">
        <is>
          <t>Yukihiro Matsumoto</t>
        </is>
      </c>
      <c r="F6" s="14" t="inlineStr">
        <is>
          <t>Larry Wall</t>
        </is>
      </c>
      <c r="G6" s="14" t="inlineStr">
        <is>
          <t>Bjarne Stroustrup</t>
        </is>
      </c>
      <c r="H6" s="14" t="inlineStr">
        <is>
          <t>https://www.ruby-lang.org/en/about/</t>
        </is>
      </c>
      <c r="I6" s="14" t="inlineStr">
        <is>
          <t>About Ruby identifies Yukihiro Matsumoto as its creator.</t>
        </is>
      </c>
      <c r="J6" s="14" t="inlineStr">
        <is>
          <t>FULL_TEXT_SUPPORT</t>
        </is>
      </c>
      <c r="K6" s="25" t="n">
        <v>46315</v>
      </c>
      <c r="L6" s="14" t="str"/>
      <c r="M6" s="14" t="inlineStr">
        <is>
          <t>Ruby</t>
        </is>
      </c>
      <c r="N6" s="14" t="inlineStr">
        <is>
          <t>637818ee9bc230463cb3</t>
        </is>
      </c>
      <c r="O6" s="14" t="inlineStr">
        <is>
          <t>urn:csra:fresh40:subject:ec4b53402285be489d4a</t>
        </is>
      </c>
      <c r="P6" s="14" t="inlineStr">
        <is>
          <t>NO SUBJECT/ALIAS OR FULL UNORDERED TRIPLE MATCH FOUND</t>
        </is>
      </c>
      <c r="Q6" s="14" t="inlineStr">
        <is>
          <t>PURPOSIVE_QUALIFICATION_CANDIDATE</t>
        </is>
      </c>
    </row>
    <row r="7" ht="80" customHeight="1">
      <c r="A7" s="14" t="inlineStr">
        <is>
          <t>F40_developer_06</t>
        </is>
      </c>
      <c r="B7" s="14" t="inlineStr">
        <is>
          <t>developer</t>
        </is>
      </c>
      <c r="C7" s="14" t="inlineStr">
        <is>
          <t>curl</t>
        </is>
      </c>
      <c r="D7" s="14" t="inlineStr">
        <is>
          <t>Which person originally developed curl?</t>
        </is>
      </c>
      <c r="E7" s="14" t="inlineStr">
        <is>
          <t>Daniel Stenberg</t>
        </is>
      </c>
      <c r="F7" s="14" t="inlineStr">
        <is>
          <t>Bjarne Stroustrup</t>
        </is>
      </c>
      <c r="G7" s="14" t="inlineStr">
        <is>
          <t>Yukihiro Matsumoto</t>
        </is>
      </c>
      <c r="H7" s="14" t="inlineStr">
        <is>
          <t>https://daniel.haxx.se/</t>
        </is>
      </c>
      <c r="I7" s="14" t="inlineStr">
        <is>
          <t>The developer identifies himself as founder and lead developer of curl and libcurl. The earlier HttpGet lineage needs distinction from curl itself.</t>
        </is>
      </c>
      <c r="J7" s="14" t="inlineStr">
        <is>
          <t>FULL_TEXT_SUPPORT</t>
        </is>
      </c>
      <c r="K7" s="25" t="n">
        <v>46315</v>
      </c>
      <c r="L7" s="14" t="inlineStr">
        <is>
          <t>https://curl.se/docs/history.html</t>
        </is>
      </c>
      <c r="M7" s="14" t="inlineStr">
        <is>
          <t>cURL</t>
        </is>
      </c>
      <c r="N7" s="14" t="inlineStr">
        <is>
          <t>e0d456bb003d202ae753</t>
        </is>
      </c>
      <c r="O7" s="14" t="inlineStr">
        <is>
          <t>urn:csra:fresh40:subject:427e4b79b1f0fc90306c</t>
        </is>
      </c>
      <c r="P7" s="14" t="inlineStr">
        <is>
          <t>NO SUBJECT/ALIAS OR FULL UNORDERED TRIPLE MATCH FOUND</t>
        </is>
      </c>
      <c r="Q7" s="14" t="inlineStr">
        <is>
          <t>PURPOSIVE_QUALIFICATION_CANDIDATE</t>
        </is>
      </c>
    </row>
    <row r="8" ht="80" customHeight="1">
      <c r="A8" s="14" t="inlineStr">
        <is>
          <t>F40_developer_07</t>
        </is>
      </c>
      <c r="B8" s="14" t="inlineStr">
        <is>
          <t>developer</t>
        </is>
      </c>
      <c r="C8" s="14" t="inlineStr">
        <is>
          <t>Git</t>
        </is>
      </c>
      <c r="D8" s="14" t="inlineStr">
        <is>
          <t>Which person initiated development of the Git version-control system in 2005?</t>
        </is>
      </c>
      <c r="E8" s="14" t="inlineStr">
        <is>
          <t>Linus Torvalds</t>
        </is>
      </c>
      <c r="F8" s="14" t="inlineStr">
        <is>
          <t>Larry Wall</t>
        </is>
      </c>
      <c r="G8" s="14" t="inlineStr">
        <is>
          <t>Yukihiro Matsumoto</t>
        </is>
      </c>
      <c r="H8" s="14" t="inlineStr">
        <is>
          <t>https://git-scm.com/book/en/v2/Getting-Started-A-Short-History-of-Git</t>
        </is>
      </c>
      <c r="I8" s="14" t="inlineStr">
        <is>
          <t>Project history identifies Linus Torvalds as central to starting Git in 2005, alongside the Linux development community.</t>
        </is>
      </c>
      <c r="J8" s="14" t="inlineStr">
        <is>
          <t>FULL_TEXT_SUPPORT</t>
        </is>
      </c>
      <c r="K8" s="25" t="n">
        <v>46315</v>
      </c>
      <c r="L8" s="14" t="str"/>
      <c r="M8" s="14" t="inlineStr">
        <is>
          <t>Git version-control system</t>
        </is>
      </c>
      <c r="N8" s="14" t="inlineStr">
        <is>
          <t>dab5a450ea83c1efcc4d</t>
        </is>
      </c>
      <c r="O8" s="14" t="inlineStr">
        <is>
          <t>urn:csra:fresh40:subject:9a881b9b9f2384947529</t>
        </is>
      </c>
      <c r="P8" s="14" t="inlineStr">
        <is>
          <t>NO SUBJECT/ALIAS OR FULL UNORDERED TRIPLE MATCH FOUND</t>
        </is>
      </c>
      <c r="Q8" s="14" t="inlineStr">
        <is>
          <t>PURPOSIVE_QUALIFICATION_CANDIDATE</t>
        </is>
      </c>
    </row>
    <row r="9" ht="80" customHeight="1">
      <c r="A9" s="14" t="inlineStr">
        <is>
          <t>F40_developer_08</t>
        </is>
      </c>
      <c r="B9" s="14" t="inlineStr">
        <is>
          <t>developer</t>
        </is>
      </c>
      <c r="C9" s="14" t="inlineStr">
        <is>
          <t>pandas</t>
        </is>
      </c>
      <c r="D9" s="14" t="inlineStr">
        <is>
          <t>Which person initiated development of the pandas data-analysis library?</t>
        </is>
      </c>
      <c r="E9" s="14" t="inlineStr">
        <is>
          <t>Wes McKinney</t>
        </is>
      </c>
      <c r="F9" s="14" t="inlineStr">
        <is>
          <t>Larry Wall</t>
        </is>
      </c>
      <c r="G9" s="14" t="inlineStr">
        <is>
          <t>Rasmus Lerdorf</t>
        </is>
      </c>
      <c r="H9" s="14" t="inlineStr">
        <is>
          <t>https://github.com/readme/stories/wes-mckinney</t>
        </is>
      </c>
      <c r="I9" s="14" t="inlineStr">
        <is>
          <t>McKinney describes starting pandas in 2008 as his project at AQR; later development involved many contributors.</t>
        </is>
      </c>
      <c r="J9" s="14" t="inlineStr">
        <is>
          <t>FULL_TEXT_SUPPORT</t>
        </is>
      </c>
      <c r="K9" s="25" t="n">
        <v>46315</v>
      </c>
      <c r="L9" s="14" t="str"/>
      <c r="M9" s="14" t="inlineStr">
        <is>
          <t>pandas library</t>
        </is>
      </c>
      <c r="N9" s="14" t="inlineStr">
        <is>
          <t>77330fcda393570eaca9</t>
        </is>
      </c>
      <c r="O9" s="14" t="inlineStr">
        <is>
          <t>urn:csra:fresh40:subject:ae4863bdae026314d599</t>
        </is>
      </c>
      <c r="P9" s="14" t="inlineStr">
        <is>
          <t>NO SUBJECT/ALIAS OR FULL UNORDERED TRIPLE MATCH FOUND</t>
        </is>
      </c>
      <c r="Q9" s="14" t="inlineStr">
        <is>
          <t>PURPOSIVE_QUALIFICATION_CANDIDATE</t>
        </is>
      </c>
    </row>
    <row r="10" ht="80" customHeight="1">
      <c r="A10" s="14" t="inlineStr">
        <is>
          <t>F40_developer_09</t>
        </is>
      </c>
      <c r="B10" s="14" t="inlineStr">
        <is>
          <t>developer</t>
        </is>
      </c>
      <c r="C10" s="14" t="inlineStr">
        <is>
          <t>C++</t>
        </is>
      </c>
      <c r="D10" s="14" t="inlineStr">
        <is>
          <t>Which person originally developed C++?</t>
        </is>
      </c>
      <c r="E10" s="14" t="inlineStr">
        <is>
          <t>Bjarne Stroustrup</t>
        </is>
      </c>
      <c r="F10" s="14" t="inlineStr">
        <is>
          <t>Daniel Stenberg</t>
        </is>
      </c>
      <c r="G10" s="14" t="inlineStr">
        <is>
          <t>Larry Wall</t>
        </is>
      </c>
      <c r="H10" s="14" t="inlineStr">
        <is>
          <t>https://www.stroustrup.com/bs_faq.html</t>
        </is>
      </c>
      <c r="I10" s="14" t="inlineStr">
        <is>
          <t>The inventor explains starting C with Classes in 1979 and its evolution into C++.</t>
        </is>
      </c>
      <c r="J10" s="14" t="inlineStr">
        <is>
          <t>FULL_TEXT_SUPPORT</t>
        </is>
      </c>
      <c r="K10" s="25" t="n">
        <v>46315</v>
      </c>
      <c r="L10" s="14" t="str"/>
      <c r="M10" s="14" t="inlineStr">
        <is>
          <t>C++ programming language</t>
        </is>
      </c>
      <c r="N10" s="14" t="inlineStr">
        <is>
          <t>8fc85f6e8111f732cb46</t>
        </is>
      </c>
      <c r="O10" s="14" t="inlineStr">
        <is>
          <t>urn:csra:fresh40:subject:cedb1bac7efcd7db47e9</t>
        </is>
      </c>
      <c r="P10" s="14" t="inlineStr">
        <is>
          <t>NO SUBJECT/ALIAS OR FULL UNORDERED TRIPLE MATCH FOUND</t>
        </is>
      </c>
      <c r="Q10" s="14" t="inlineStr">
        <is>
          <t>PURPOSIVE_QUALIFICATION_CANDIDATE</t>
        </is>
      </c>
    </row>
    <row r="11" ht="80" customHeight="1">
      <c r="A11" s="14" t="inlineStr">
        <is>
          <t>F40_developer_10</t>
        </is>
      </c>
      <c r="B11" s="14" t="inlineStr">
        <is>
          <t>developer</t>
        </is>
      </c>
      <c r="C11" s="14" t="inlineStr">
        <is>
          <t>Perl</t>
        </is>
      </c>
      <c r="D11" s="14" t="inlineStr">
        <is>
          <t>Which person originally developed Perl?</t>
        </is>
      </c>
      <c r="E11" s="14" t="inlineStr">
        <is>
          <t>Larry Wall</t>
        </is>
      </c>
      <c r="F11" s="14" t="inlineStr">
        <is>
          <t>Rasmus Lerdorf</t>
        </is>
      </c>
      <c r="G11" s="14" t="inlineStr">
        <is>
          <t>Linus Torvalds</t>
        </is>
      </c>
      <c r="H11" s="14" t="inlineStr">
        <is>
          <t>https://perldoc.perl.org/perl</t>
        </is>
      </c>
      <c r="I11" s="14" t="inlineStr">
        <is>
          <t>The language documentation names Larry Wall in its AUTHOR section and acknowledges other contributors.</t>
        </is>
      </c>
      <c r="J11" s="14" t="inlineStr">
        <is>
          <t>FULL_TEXT_SUPPORT</t>
        </is>
      </c>
      <c r="K11" s="25" t="n">
        <v>46315</v>
      </c>
      <c r="L11" s="14" t="str"/>
      <c r="M11" s="14" t="str"/>
      <c r="N11" s="14" t="inlineStr">
        <is>
          <t>d1f1cffbf6c76ee981f6</t>
        </is>
      </c>
      <c r="O11" s="14" t="inlineStr">
        <is>
          <t>urn:csra:fresh40:subject:f0c929a9e723bc62724e</t>
        </is>
      </c>
      <c r="P11" s="14" t="inlineStr">
        <is>
          <t>NO SUBJECT/ALIAS OR FULL UNORDERED TRIPLE MATCH FOUND</t>
        </is>
      </c>
      <c r="Q11" s="14" t="inlineStr">
        <is>
          <t>PURPOSIVE_QUALIFICATION_CANDIDATE</t>
        </is>
      </c>
    </row>
    <row r="12" ht="80" customHeight="1">
      <c r="A12" s="14" t="inlineStr">
        <is>
          <t>F40_formation_location_01</t>
        </is>
      </c>
      <c r="B12" s="14" t="inlineStr">
        <is>
          <t>formation_location</t>
        </is>
      </c>
      <c r="C12" s="14" t="inlineStr">
        <is>
          <t>adidas</t>
        </is>
      </c>
      <c r="D12" s="14" t="inlineStr">
        <is>
          <t>In which town was adidas established in 1949?</t>
        </is>
      </c>
      <c r="E12" s="14" t="inlineStr">
        <is>
          <t>Herzogenaurach</t>
        </is>
      </c>
      <c r="F12" s="14" t="inlineStr">
        <is>
          <t>Kobe</t>
        </is>
      </c>
      <c r="G12" s="14" t="inlineStr">
        <is>
          <t>Sant’Agata Bolognese</t>
        </is>
      </c>
      <c r="H12" s="14" t="inlineStr">
        <is>
          <t>https://www.adidas-group.com/en/about/history</t>
        </is>
      </c>
      <c r="I12" s="14" t="inlineStr">
        <is>
          <t>Founding Father entry locates the 1949 adidas business in Herzogenaurach.</t>
        </is>
      </c>
      <c r="J12" s="14" t="inlineStr">
        <is>
          <t>FULL_TEXT_SUPPORT</t>
        </is>
      </c>
      <c r="K12" s="25" t="n">
        <v>46315</v>
      </c>
      <c r="L12" s="14" t="str"/>
      <c r="M12" s="14" t="str"/>
      <c r="N12" s="14" t="inlineStr">
        <is>
          <t>8f2d10d4b8be3e75bf83</t>
        </is>
      </c>
      <c r="O12" s="14" t="inlineStr">
        <is>
          <t>urn:csra:fresh40:subject:08bb42a30ca57f3455e1</t>
        </is>
      </c>
      <c r="P12" s="14" t="inlineStr">
        <is>
          <t>NO SUBJECT/ALIAS OR FULL UNORDERED TRIPLE MATCH FOUND</t>
        </is>
      </c>
      <c r="Q12" s="14" t="inlineStr">
        <is>
          <t>PURPOSIVE_QUALIFICATION_CANDIDATE</t>
        </is>
      </c>
    </row>
    <row r="13" ht="80" customHeight="1">
      <c r="A13" s="14" t="inlineStr">
        <is>
          <t>F40_formation_location_02</t>
        </is>
      </c>
      <c r="B13" s="14" t="inlineStr">
        <is>
          <t>formation_location</t>
        </is>
      </c>
      <c r="C13" s="14" t="inlineStr">
        <is>
          <t>The LEGO Group</t>
        </is>
      </c>
      <c r="D13" s="14" t="inlineStr">
        <is>
          <t>In which town did the LEGO Group begin in 1932?</t>
        </is>
      </c>
      <c r="E13" s="14" t="inlineStr">
        <is>
          <t>Billund</t>
        </is>
      </c>
      <c r="F13" s="14" t="inlineStr">
        <is>
          <t>Kyoto</t>
        </is>
      </c>
      <c r="G13" s="14" t="inlineStr">
        <is>
          <t>Tokyo</t>
        </is>
      </c>
      <c r="H13" s="14" t="inlineStr">
        <is>
          <t>https://www.lego.com/en-us/careers/billund-denmark</t>
        </is>
      </c>
      <c r="I13" s="14" t="inlineStr">
        <is>
          <t>LEGO identifies Billund as the place where the founder established the workshop in 1932.</t>
        </is>
      </c>
      <c r="J13" s="14" t="inlineStr">
        <is>
          <t>FULL_TEXT_SUPPORT</t>
        </is>
      </c>
      <c r="K13" s="25" t="n">
        <v>46315</v>
      </c>
      <c r="L13" s="14" t="str"/>
      <c r="M13" s="14" t="inlineStr">
        <is>
          <t>LEGO; LEGO Group</t>
        </is>
      </c>
      <c r="N13" s="14" t="inlineStr">
        <is>
          <t>c3a3e0eadde2b4aca594</t>
        </is>
      </c>
      <c r="O13" s="14" t="inlineStr">
        <is>
          <t>urn:csra:fresh40:subject:6b3c14e6e79ef471c207</t>
        </is>
      </c>
      <c r="P13" s="14" t="inlineStr">
        <is>
          <t>NO SUBJECT/ALIAS OR FULL UNORDERED TRIPLE MATCH FOUND</t>
        </is>
      </c>
      <c r="Q13" s="14" t="inlineStr">
        <is>
          <t>PURPOSIVE_QUALIFICATION_CANDIDATE</t>
        </is>
      </c>
    </row>
    <row r="14" ht="80" customHeight="1">
      <c r="A14" s="14" t="inlineStr">
        <is>
          <t>F40_formation_location_03</t>
        </is>
      </c>
      <c r="B14" s="14" t="inlineStr">
        <is>
          <t>formation_location</t>
        </is>
      </c>
      <c r="C14" s="14" t="inlineStr">
        <is>
          <t>Nintendo</t>
        </is>
      </c>
      <c r="D14" s="14" t="inlineStr">
        <is>
          <t>In which city did Nintendo begin its playing-card business in 1889?</t>
        </is>
      </c>
      <c r="E14" s="14" t="inlineStr">
        <is>
          <t>Kyoto</t>
        </is>
      </c>
      <c r="F14" s="14" t="inlineStr">
        <is>
          <t>Kobe</t>
        </is>
      </c>
      <c r="G14" s="14" t="inlineStr">
        <is>
          <t>Milwaukee</t>
        </is>
      </c>
      <c r="H14" s="14" t="inlineStr">
        <is>
          <t>https://www.nintendo.com/us/about/</t>
        </is>
      </c>
      <c r="I14" s="14" t="inlineStr">
        <is>
          <t>The 1889 history entry places Fusajiro Yamauchi's founding playing-card business in Kyoto.</t>
        </is>
      </c>
      <c r="J14" s="14" t="inlineStr">
        <is>
          <t>FULL_TEXT_SUPPORT</t>
        </is>
      </c>
      <c r="K14" s="25" t="n">
        <v>46315</v>
      </c>
      <c r="L14" s="14" t="str"/>
      <c r="M14" s="14" t="inlineStr">
        <is>
          <t>Nintendo Co., Ltd.</t>
        </is>
      </c>
      <c r="N14" s="14" t="inlineStr">
        <is>
          <t>9e3bf5a60008796696e9</t>
        </is>
      </c>
      <c r="O14" s="14" t="inlineStr">
        <is>
          <t>urn:csra:fresh40:subject:c0a4942143e872cd1ae2</t>
        </is>
      </c>
      <c r="P14" s="14" t="inlineStr">
        <is>
          <t>NO SUBJECT/ALIAS OR FULL UNORDERED TRIPLE MATCH FOUND</t>
        </is>
      </c>
      <c r="Q14" s="14" t="inlineStr">
        <is>
          <t>PURPOSIVE_QUALIFICATION_CANDIDATE</t>
        </is>
      </c>
    </row>
    <row r="15" ht="80" customHeight="1">
      <c r="A15" s="14" t="inlineStr">
        <is>
          <t>F40_formation_location_04</t>
        </is>
      </c>
      <c r="B15" s="14" t="inlineStr">
        <is>
          <t>formation_location</t>
        </is>
      </c>
      <c r="C15" s="14" t="inlineStr">
        <is>
          <t>Microsoft</t>
        </is>
      </c>
      <c r="D15" s="14" t="inlineStr">
        <is>
          <t>In which city was Microsoft founded in 1975?</t>
        </is>
      </c>
      <c r="E15" s="14" t="inlineStr">
        <is>
          <t>Albuquerque</t>
        </is>
      </c>
      <c r="F15" s="14" t="inlineStr">
        <is>
          <t>Gothenburg</t>
        </is>
      </c>
      <c r="G15" s="14" t="inlineStr">
        <is>
          <t>Kyoto</t>
        </is>
      </c>
      <c r="H15" s="14" t="inlineStr">
        <is>
          <t>https://news.microsoft.com/source/emea/2025/04/50-years-of-microsoft-36-years-of-innovation-in-switzerland/</t>
        </is>
      </c>
      <c r="I15" s="14" t="inlineStr">
        <is>
          <t>The company's anniversary account locates its 1975 founding in Albuquerque, rather than later Washington locations.</t>
        </is>
      </c>
      <c r="J15" s="14" t="inlineStr">
        <is>
          <t>FULL_TEXT_SUPPORT</t>
        </is>
      </c>
      <c r="K15" s="25" t="n">
        <v>46315</v>
      </c>
      <c r="L15" s="14" t="str"/>
      <c r="M15" s="14" t="str"/>
      <c r="N15" s="14" t="inlineStr">
        <is>
          <t>07687d84020ece6be58d</t>
        </is>
      </c>
      <c r="O15" s="14" t="inlineStr">
        <is>
          <t>urn:csra:fresh40:subject:9fbf261b62c1d7c00db7</t>
        </is>
      </c>
      <c r="P15" s="14" t="inlineStr">
        <is>
          <t>NO SUBJECT/ALIAS OR FULL UNORDERED TRIPLE MATCH FOUND</t>
        </is>
      </c>
      <c r="Q15" s="14" t="inlineStr">
        <is>
          <t>PURPOSIVE_QUALIFICATION_CANDIDATE</t>
        </is>
      </c>
    </row>
    <row r="16" ht="80" customHeight="1">
      <c r="A16" s="14" t="inlineStr">
        <is>
          <t>F40_formation_location_05</t>
        </is>
      </c>
      <c r="B16" s="14" t="inlineStr">
        <is>
          <t>formation_location</t>
        </is>
      </c>
      <c r="C16" s="14" t="inlineStr">
        <is>
          <t>Sony</t>
        </is>
      </c>
      <c r="D16" s="14" t="inlineStr">
        <is>
          <t>In which city was Sony's predecessor Tokyo Tsushin Kogyo established in 1946?</t>
        </is>
      </c>
      <c r="E16" s="14" t="inlineStr">
        <is>
          <t>Tokyo</t>
        </is>
      </c>
      <c r="F16" s="14" t="inlineStr">
        <is>
          <t>Gothenburg</t>
        </is>
      </c>
      <c r="G16" s="14" t="inlineStr">
        <is>
          <t>Billund</t>
        </is>
      </c>
      <c r="H16" s="14" t="inlineStr">
        <is>
          <t>https://www.sony.com/en/SonyInfo/CorporateInfo/History/capsule/03/</t>
        </is>
      </c>
      <c r="I16" s="14" t="inlineStr">
        <is>
          <t>The 1946 founding factory and office of Tokyo Tsushin Kogyo, later Sony, were in Nihonbashi, Tokyo.</t>
        </is>
      </c>
      <c r="J16" s="14" t="inlineStr">
        <is>
          <t>FULL_TEXT_SUPPORT</t>
        </is>
      </c>
      <c r="K16" s="25" t="n">
        <v>46315</v>
      </c>
      <c r="L16" s="14" t="str"/>
      <c r="M16" s="14" t="inlineStr">
        <is>
          <t>Tokyo Tsushin Kogyo; Sony Group Corporation</t>
        </is>
      </c>
      <c r="N16" s="14" t="inlineStr">
        <is>
          <t>9ff9c55b6f2cd73e8e49</t>
        </is>
      </c>
      <c r="O16" s="14" t="inlineStr">
        <is>
          <t>urn:csra:fresh40:subject:587d392b6c7680ec7656</t>
        </is>
      </c>
      <c r="P16" s="14" t="inlineStr">
        <is>
          <t>NO SUBJECT/ALIAS OR FULL UNORDERED TRIPLE MATCH FOUND</t>
        </is>
      </c>
      <c r="Q16" s="14" t="inlineStr">
        <is>
          <t>PURPOSIVE_QUALIFICATION_CANDIDATE</t>
        </is>
      </c>
    </row>
    <row r="17" ht="80" customHeight="1">
      <c r="A17" s="14" t="inlineStr">
        <is>
          <t>F40_formation_location_06</t>
        </is>
      </c>
      <c r="B17" s="14" t="inlineStr">
        <is>
          <t>formation_location</t>
        </is>
      </c>
      <c r="C17" s="14" t="inlineStr">
        <is>
          <t>BMW</t>
        </is>
      </c>
      <c r="D17" s="14" t="inlineStr">
        <is>
          <t>In which city did BMW originate as an aero-engine manufacturer?</t>
        </is>
      </c>
      <c r="E17" s="14" t="inlineStr">
        <is>
          <t>Munich</t>
        </is>
      </c>
      <c r="F17" s="14" t="inlineStr">
        <is>
          <t>Gothenburg</t>
        </is>
      </c>
      <c r="G17" s="14" t="inlineStr">
        <is>
          <t>Billund</t>
        </is>
      </c>
      <c r="H17" s="14" t="inlineStr">
        <is>
          <t>https://www.press.bmwgroup.com/usa/article/detail/T0258828EN_US/the-history-of-the-bmw-group:-100-years-of-fascination-for-mobility?language=en_US</t>
        </is>
      </c>
      <c r="I17" s="14" t="inlineStr">
        <is>
          <t>The centenary press kit traces the company to a small aero-engine manufacturer in northern Munich.</t>
        </is>
      </c>
      <c r="J17" s="14" t="inlineStr">
        <is>
          <t>FULL_TEXT_SUPPORT</t>
        </is>
      </c>
      <c r="K17" s="25" t="n">
        <v>46315</v>
      </c>
      <c r="L17" s="14" t="str"/>
      <c r="M17" s="14" t="inlineStr">
        <is>
          <t>Bayerische Motoren Werke; BMW Group</t>
        </is>
      </c>
      <c r="N17" s="14" t="inlineStr">
        <is>
          <t>1062db6d7742a4c4c308</t>
        </is>
      </c>
      <c r="O17" s="14" t="inlineStr">
        <is>
          <t>urn:csra:fresh40:subject:27df9ed9a477af0fcfe3</t>
        </is>
      </c>
      <c r="P17" s="14" t="inlineStr">
        <is>
          <t>NO SUBJECT/ALIAS OR FULL UNORDERED TRIPLE MATCH FOUND</t>
        </is>
      </c>
      <c r="Q17" s="14" t="inlineStr">
        <is>
          <t>PURPOSIVE_QUALIFICATION_CANDIDATE</t>
        </is>
      </c>
    </row>
    <row r="18" ht="80" customHeight="1">
      <c r="A18" s="14" t="inlineStr">
        <is>
          <t>F40_formation_location_07</t>
        </is>
      </c>
      <c r="B18" s="14" t="inlineStr">
        <is>
          <t>formation_location</t>
        </is>
      </c>
      <c r="C18" s="14" t="inlineStr">
        <is>
          <t>Volvo</t>
        </is>
      </c>
      <c r="D18" s="14" t="inlineStr">
        <is>
          <t>In which city did Volvo begin vehicle production at its founding in 1927?</t>
        </is>
      </c>
      <c r="E18" s="14" t="inlineStr">
        <is>
          <t>Gothenburg</t>
        </is>
      </c>
      <c r="F18" s="14" t="inlineStr">
        <is>
          <t>Sant’Agata Bolognese</t>
        </is>
      </c>
      <c r="G18" s="14" t="inlineStr">
        <is>
          <t>Herzogenaurach</t>
        </is>
      </c>
      <c r="H18" s="14" t="inlineStr">
        <is>
          <t>https://www.volvogroup.com/en/about-us/heritage/story-of-volvo.html</t>
        </is>
      </c>
      <c r="I18" s="14" t="inlineStr">
        <is>
          <t>The official timeline labels 1927 as Volvo's founding and places its first factory in Gothenburg.</t>
        </is>
      </c>
      <c r="J18" s="14" t="inlineStr">
        <is>
          <t>FULL_TEXT_SUPPORT</t>
        </is>
      </c>
      <c r="K18" s="25" t="n">
        <v>46315</v>
      </c>
      <c r="L18" s="14" t="str"/>
      <c r="M18" s="14" t="inlineStr">
        <is>
          <t>Volvo Group</t>
        </is>
      </c>
      <c r="N18" s="14" t="inlineStr">
        <is>
          <t>1304761bfef5402aa0e7</t>
        </is>
      </c>
      <c r="O18" s="14" t="inlineStr">
        <is>
          <t>urn:csra:fresh40:subject:bccae4ce7be65100a847</t>
        </is>
      </c>
      <c r="P18" s="14" t="inlineStr">
        <is>
          <t>NO SUBJECT/ALIAS OR FULL UNORDERED TRIPLE MATCH FOUND</t>
        </is>
      </c>
      <c r="Q18" s="14" t="inlineStr">
        <is>
          <t>PURPOSIVE_QUALIFICATION_CANDIDATE</t>
        </is>
      </c>
    </row>
    <row r="19" ht="80" customHeight="1">
      <c r="A19" s="14" t="inlineStr">
        <is>
          <t>F40_formation_location_08</t>
        </is>
      </c>
      <c r="B19" s="14" t="inlineStr">
        <is>
          <t>formation_location</t>
        </is>
      </c>
      <c r="C19" s="14" t="inlineStr">
        <is>
          <t>Harley-Davidson</t>
        </is>
      </c>
      <c r="D19" s="14" t="inlineStr">
        <is>
          <t>In which city was Harley-Davidson founded in 1903?</t>
        </is>
      </c>
      <c r="E19" s="14" t="inlineStr">
        <is>
          <t>Milwaukee</t>
        </is>
      </c>
      <c r="F19" s="14" t="inlineStr">
        <is>
          <t>Munich</t>
        </is>
      </c>
      <c r="G19" s="14" t="inlineStr">
        <is>
          <t>Billund</t>
        </is>
      </c>
      <c r="H19" s="14" t="inlineStr">
        <is>
          <t>https://www.harley-davidson.com/us/en/about-us/careers/locations.html</t>
        </is>
      </c>
      <c r="I19" s="14" t="inlineStr">
        <is>
          <t>The company explicitly states it was founded in Milwaukee in 1903.</t>
        </is>
      </c>
      <c r="J19" s="14" t="inlineStr">
        <is>
          <t>FULL_TEXT_SUPPORT</t>
        </is>
      </c>
      <c r="K19" s="25" t="n">
        <v>46315</v>
      </c>
      <c r="L19" s="14" t="str"/>
      <c r="M19" s="14" t="inlineStr">
        <is>
          <t>Harley Davidson</t>
        </is>
      </c>
      <c r="N19" s="14" t="inlineStr">
        <is>
          <t>d10c0c5a34ca6f55db87</t>
        </is>
      </c>
      <c r="O19" s="14" t="inlineStr">
        <is>
          <t>urn:csra:fresh40:subject:1cf1a7f24ea659b13f42</t>
        </is>
      </c>
      <c r="P19" s="14" t="inlineStr">
        <is>
          <t>NO SUBJECT/ALIAS OR FULL UNORDERED TRIPLE MATCH FOUND</t>
        </is>
      </c>
      <c r="Q19" s="14" t="inlineStr">
        <is>
          <t>PURPOSIVE_QUALIFICATION_CANDIDATE</t>
        </is>
      </c>
    </row>
    <row r="20" ht="80" customHeight="1">
      <c r="A20" s="14" t="inlineStr">
        <is>
          <t>F40_formation_location_09</t>
        </is>
      </c>
      <c r="B20" s="14" t="inlineStr">
        <is>
          <t>formation_location</t>
        </is>
      </c>
      <c r="C20" s="14" t="inlineStr">
        <is>
          <t>Onitsuka Co., Ltd.</t>
        </is>
      </c>
      <c r="D20" s="14" t="inlineStr">
        <is>
          <t>In which city was Onitsuka Co., Ltd., the predecessor of ASICS, founded in 1949?</t>
        </is>
      </c>
      <c r="E20" s="14" t="inlineStr">
        <is>
          <t>Kobe</t>
        </is>
      </c>
      <c r="F20" s="14" t="inlineStr">
        <is>
          <t>Albuquerque</t>
        </is>
      </c>
      <c r="G20" s="14" t="inlineStr">
        <is>
          <t>Milwaukee</t>
        </is>
      </c>
      <c r="H20" s="14" t="inlineStr">
        <is>
          <t>https://corp.asics.com/en/about_asics/history</t>
        </is>
      </c>
      <c r="I20" s="14" t="inlineStr">
        <is>
          <t>The 1949 history entry places Onitsuka Shokai and its reorganization as Onitsuka Co., Ltd. in Kobe. This asks about the predecessor, not the 1977 ASICS merger.</t>
        </is>
      </c>
      <c r="J20" s="14" t="inlineStr">
        <is>
          <t>FULL_TEXT_SUPPORT</t>
        </is>
      </c>
      <c r="K20" s="25" t="n">
        <v>46315</v>
      </c>
      <c r="L20" s="14" t="str"/>
      <c r="M20" s="14" t="inlineStr">
        <is>
          <t>Onitsuka; ASICS predecessor</t>
        </is>
      </c>
      <c r="N20" s="14" t="inlineStr">
        <is>
          <t>ae5fae140f968b9f8160</t>
        </is>
      </c>
      <c r="O20" s="14" t="inlineStr">
        <is>
          <t>urn:csra:fresh40:subject:97fda0ce461ff3a9c785</t>
        </is>
      </c>
      <c r="P20" s="14" t="inlineStr">
        <is>
          <t>NO SUBJECT/ALIAS OR FULL UNORDERED TRIPLE MATCH FOUND</t>
        </is>
      </c>
      <c r="Q20" s="14" t="inlineStr">
        <is>
          <t>PURPOSIVE_QUALIFICATION_CANDIDATE</t>
        </is>
      </c>
    </row>
    <row r="21" ht="80" customHeight="1">
      <c r="A21" s="14" t="inlineStr">
        <is>
          <t>F40_formation_location_10</t>
        </is>
      </c>
      <c r="B21" s="14" t="inlineStr">
        <is>
          <t>formation_location</t>
        </is>
      </c>
      <c r="C21" s="14" t="inlineStr">
        <is>
          <t>Automobili Lamborghini</t>
        </is>
      </c>
      <c r="D21" s="14" t="inlineStr">
        <is>
          <t>In which town was Automobili Lamborghini established in 1963?</t>
        </is>
      </c>
      <c r="E21" s="14" t="inlineStr">
        <is>
          <t>Sant’Agata Bolognese</t>
        </is>
      </c>
      <c r="F21" s="14" t="inlineStr">
        <is>
          <t>Kobe</t>
        </is>
      </c>
      <c r="G21" s="14" t="inlineStr">
        <is>
          <t>Albuquerque</t>
        </is>
      </c>
      <c r="H21" s="14" t="inlineStr">
        <is>
          <t>https://www.lamborghini.com/en-en/history/milestones</t>
        </is>
      </c>
      <c r="I21" s="14" t="inlineStr">
        <is>
          <t>The 1963 milestone explicitly locates establishment of Automobili Lamborghini in Sant'Agata Bolognese.</t>
        </is>
      </c>
      <c r="J21" s="14" t="inlineStr">
        <is>
          <t>FULL_TEXT_SUPPORT</t>
        </is>
      </c>
      <c r="K21" s="25" t="n">
        <v>46315</v>
      </c>
      <c r="L21" s="14" t="str"/>
      <c r="M21" s="14" t="inlineStr">
        <is>
          <t>Lamborghini</t>
        </is>
      </c>
      <c r="N21" s="14" t="inlineStr">
        <is>
          <t>36487dd9ccc7e1e9aa80</t>
        </is>
      </c>
      <c r="O21" s="14" t="inlineStr">
        <is>
          <t>urn:csra:fresh40:subject:f53cad437d2bc1eeaecd</t>
        </is>
      </c>
      <c r="P21" s="14" t="inlineStr">
        <is>
          <t>NO SUBJECT/ALIAS OR FULL UNORDERED TRIPLE MATCH FOUND</t>
        </is>
      </c>
      <c r="Q21" s="14" t="inlineStr">
        <is>
          <t>PURPOSIVE_QUALIFICATION_CANDIDATE</t>
        </is>
      </c>
    </row>
    <row r="22" ht="80" customHeight="1">
      <c r="A22" s="14" t="inlineStr">
        <is>
          <t>F40_original_language_01</t>
        </is>
      </c>
      <c r="B22" s="14" t="inlineStr">
        <is>
          <t>original_language</t>
        </is>
      </c>
      <c r="C22" s="14" t="inlineStr">
        <is>
          <t>Parasite (2019)</t>
        </is>
      </c>
      <c r="D22" s="14" t="inlineStr">
        <is>
          <t>What is the principal language of the original film Parasite (2019), excluding dubbed versions?</t>
        </is>
      </c>
      <c r="E22" s="14" t="inlineStr">
        <is>
          <t>Korean</t>
        </is>
      </c>
      <c r="F22" s="14" t="inlineStr">
        <is>
          <t>Spanish</t>
        </is>
      </c>
      <c r="G22" s="14" t="inlineStr">
        <is>
          <t>Italian</t>
        </is>
      </c>
      <c r="H22" s="14" t="inlineStr">
        <is>
          <t>https://www.criterion.com/films/30619-parasite</t>
        </is>
      </c>
      <c r="I22" s="14" t="inlineStr">
        <is>
          <t>The distributor's Film Info language field lists Korean. Review the original film, excluding dubbed editions.</t>
        </is>
      </c>
      <c r="J22" s="14" t="inlineStr">
        <is>
          <t>FULL_TEXT_SUPPORT</t>
        </is>
      </c>
      <c r="K22" s="25" t="n">
        <v>46315</v>
      </c>
      <c r="L22" s="14" t="str"/>
      <c r="M22" s="14" t="inlineStr">
        <is>
          <t>Parasite</t>
        </is>
      </c>
      <c r="N22" s="14" t="inlineStr">
        <is>
          <t>d5a4a95ff4542a65e647</t>
        </is>
      </c>
      <c r="O22" s="14" t="inlineStr">
        <is>
          <t>urn:csra:fresh40:subject:2320a5ed091d5d7a743a</t>
        </is>
      </c>
      <c r="P22" s="14" t="inlineStr">
        <is>
          <t>NO SUBJECT/ALIAS OR FULL UNORDERED TRIPLE MATCH FOUND</t>
        </is>
      </c>
      <c r="Q22" s="14" t="inlineStr">
        <is>
          <t>PURPOSIVE_QUALIFICATION_CANDIDATE</t>
        </is>
      </c>
    </row>
    <row r="23" ht="80" customHeight="1">
      <c r="A23" s="14" t="inlineStr">
        <is>
          <t>F40_original_language_02</t>
        </is>
      </c>
      <c r="B23" s="14" t="inlineStr">
        <is>
          <t>original_language</t>
        </is>
      </c>
      <c r="C23" s="14" t="inlineStr">
        <is>
          <t>Seven Samurai (1954)</t>
        </is>
      </c>
      <c r="D23" s="14" t="inlineStr">
        <is>
          <t>What is the principal language of the original film Seven Samurai (1954), excluding dubbed versions?</t>
        </is>
      </c>
      <c r="E23" s="14" t="inlineStr">
        <is>
          <t>Japanese</t>
        </is>
      </c>
      <c r="F23" s="14" t="inlineStr">
        <is>
          <t>Bengali</t>
        </is>
      </c>
      <c r="G23" s="14" t="inlineStr">
        <is>
          <t>Italian</t>
        </is>
      </c>
      <c r="H23" s="14" t="inlineStr">
        <is>
          <t>https://www.criterion.com/films/165-seven-samurai</t>
        </is>
      </c>
      <c r="I23" s="14" t="inlineStr">
        <is>
          <t>The distributor's Film Info language field lists Japanese. Review the original film, excluding dubbed editions.</t>
        </is>
      </c>
      <c r="J23" s="14" t="inlineStr">
        <is>
          <t>FULL_TEXT_SUPPORT</t>
        </is>
      </c>
      <c r="K23" s="25" t="n">
        <v>46315</v>
      </c>
      <c r="L23" s="14" t="str"/>
      <c r="M23" s="14" t="inlineStr">
        <is>
          <t>Seven Samurai</t>
        </is>
      </c>
      <c r="N23" s="14" t="inlineStr">
        <is>
          <t>ace4074aea6d06a1b82d</t>
        </is>
      </c>
      <c r="O23" s="14" t="inlineStr">
        <is>
          <t>urn:csra:fresh40:subject:5785bd7e52d23144e996</t>
        </is>
      </c>
      <c r="P23" s="14" t="inlineStr">
        <is>
          <t>NO SUBJECT/ALIAS OR FULL UNORDERED TRIPLE MATCH FOUND</t>
        </is>
      </c>
      <c r="Q23" s="14" t="inlineStr">
        <is>
          <t>PURPOSIVE_QUALIFICATION_CANDIDATE</t>
        </is>
      </c>
    </row>
    <row r="24" ht="80" customHeight="1">
      <c r="A24" s="14" t="inlineStr">
        <is>
          <t>F40_original_language_03</t>
        </is>
      </c>
      <c r="B24" s="14" t="inlineStr">
        <is>
          <t>original_language</t>
        </is>
      </c>
      <c r="C24" s="14" t="inlineStr">
        <is>
          <t>The 400 Blows (1959)</t>
        </is>
      </c>
      <c r="D24" s="14" t="inlineStr">
        <is>
          <t>What is the principal language of the original film The 400 Blows (1959), excluding dubbed versions?</t>
        </is>
      </c>
      <c r="E24" s="14" t="inlineStr">
        <is>
          <t>French</t>
        </is>
      </c>
      <c r="F24" s="14" t="inlineStr">
        <is>
          <t>Spanish</t>
        </is>
      </c>
      <c r="G24" s="14" t="inlineStr">
        <is>
          <t>Bengali</t>
        </is>
      </c>
      <c r="H24" s="14" t="inlineStr">
        <is>
          <t>https://www.criterion.com/films/151-the-400-blows</t>
        </is>
      </c>
      <c r="I24" s="14" t="inlineStr">
        <is>
          <t>The distributor's Film Info language field lists French. Review the original film, excluding dubbed editions.</t>
        </is>
      </c>
      <c r="J24" s="14" t="inlineStr">
        <is>
          <t>FULL_TEXT_SUPPORT</t>
        </is>
      </c>
      <c r="K24" s="25" t="n">
        <v>46315</v>
      </c>
      <c r="L24" s="14" t="str"/>
      <c r="M24" s="14" t="inlineStr">
        <is>
          <t>The 400 Blows</t>
        </is>
      </c>
      <c r="N24" s="14" t="inlineStr">
        <is>
          <t>c2e4ee013b535de1b1df</t>
        </is>
      </c>
      <c r="O24" s="14" t="inlineStr">
        <is>
          <t>urn:csra:fresh40:subject:6bcd59877c7c20f7cfe9</t>
        </is>
      </c>
      <c r="P24" s="14" t="inlineStr">
        <is>
          <t>NO SUBJECT/ALIAS OR FULL UNORDERED TRIPLE MATCH FOUND</t>
        </is>
      </c>
      <c r="Q24" s="14" t="inlineStr">
        <is>
          <t>PURPOSIVE_QUALIFICATION_CANDIDATE</t>
        </is>
      </c>
    </row>
    <row r="25" ht="80" customHeight="1">
      <c r="A25" s="14" t="inlineStr">
        <is>
          <t>F40_original_language_04</t>
        </is>
      </c>
      <c r="B25" s="14" t="inlineStr">
        <is>
          <t>original_language</t>
        </is>
      </c>
      <c r="C25" s="14" t="inlineStr">
        <is>
          <t>M (1931)</t>
        </is>
      </c>
      <c r="D25" s="14" t="inlineStr">
        <is>
          <t>What is the principal language of the original film M (1931), excluding dubbed versions?</t>
        </is>
      </c>
      <c r="E25" s="14" t="inlineStr">
        <is>
          <t>German</t>
        </is>
      </c>
      <c r="F25" s="14" t="inlineStr">
        <is>
          <t>Korean</t>
        </is>
      </c>
      <c r="G25" s="14" t="inlineStr">
        <is>
          <t>Russian</t>
        </is>
      </c>
      <c r="H25" s="14" t="inlineStr">
        <is>
          <t>https://www.criterion.com/films/558-m</t>
        </is>
      </c>
      <c r="I25" s="14" t="inlineStr">
        <is>
          <t>The distributor's Film Info language field lists German. Review the original film, excluding dubbed editions. The release also contains a separate English-language version as a supplement; confirm the principal language of the original version.</t>
        </is>
      </c>
      <c r="J25" s="14" t="inlineStr">
        <is>
          <t>FULL_TEXT_SUPPORT</t>
        </is>
      </c>
      <c r="K25" s="25" t="n">
        <v>46315</v>
      </c>
      <c r="L25" s="14" t="str"/>
      <c r="M25" s="14" t="inlineStr">
        <is>
          <t>M</t>
        </is>
      </c>
      <c r="N25" s="14" t="inlineStr">
        <is>
          <t>d94919c94d0047bebc94</t>
        </is>
      </c>
      <c r="O25" s="14" t="inlineStr">
        <is>
          <t>urn:csra:fresh40:subject:25107fb0c6860fe0e8c6</t>
        </is>
      </c>
      <c r="P25" s="14" t="inlineStr">
        <is>
          <t>NO SUBJECT/ALIAS OR FULL UNORDERED TRIPLE MATCH FOUND</t>
        </is>
      </c>
      <c r="Q25" s="14" t="inlineStr">
        <is>
          <t>PURPOSIVE_QUALIFICATION_CANDIDATE</t>
        </is>
      </c>
    </row>
    <row r="26" ht="80" customHeight="1">
      <c r="A26" s="14" t="inlineStr">
        <is>
          <t>F40_original_language_05</t>
        </is>
      </c>
      <c r="B26" s="14" t="inlineStr">
        <is>
          <t>original_language</t>
        </is>
      </c>
      <c r="C26" s="14" t="inlineStr">
        <is>
          <t>Pan’s Labyrinth (2006)</t>
        </is>
      </c>
      <c r="D26" s="14" t="inlineStr">
        <is>
          <t>What is the principal language of the original film Pan’s Labyrinth (2006), excluding dubbed versions?</t>
        </is>
      </c>
      <c r="E26" s="14" t="inlineStr">
        <is>
          <t>Spanish</t>
        </is>
      </c>
      <c r="F26" s="14" t="inlineStr">
        <is>
          <t>Swedish</t>
        </is>
      </c>
      <c r="G26" s="14" t="inlineStr">
        <is>
          <t>Japanese</t>
        </is>
      </c>
      <c r="H26" s="14" t="inlineStr">
        <is>
          <t>https://www.criterion.com/films/28948-pan-s-labyrinth</t>
        </is>
      </c>
      <c r="I26" s="14" t="inlineStr">
        <is>
          <t>The distributor's Film Info language field lists Spanish. Review the original film, excluding dubbed editions.</t>
        </is>
      </c>
      <c r="J26" s="14" t="inlineStr">
        <is>
          <t>FULL_TEXT_SUPPORT</t>
        </is>
      </c>
      <c r="K26" s="25" t="n">
        <v>46315</v>
      </c>
      <c r="L26" s="14" t="str"/>
      <c r="M26" s="14" t="inlineStr">
        <is>
          <t>Pan’s Labyrinth</t>
        </is>
      </c>
      <c r="N26" s="14" t="inlineStr">
        <is>
          <t>9798e43bcb18b325257a</t>
        </is>
      </c>
      <c r="O26" s="14" t="inlineStr">
        <is>
          <t>urn:csra:fresh40:subject:452c4d77cfe6e53c993a</t>
        </is>
      </c>
      <c r="P26" s="14" t="inlineStr">
        <is>
          <t>NO SUBJECT/ALIAS OR FULL UNORDERED TRIPLE MATCH FOUND</t>
        </is>
      </c>
      <c r="Q26" s="14" t="inlineStr">
        <is>
          <t>PURPOSIVE_QUALIFICATION_CANDIDATE</t>
        </is>
      </c>
    </row>
    <row r="27" ht="80" customHeight="1">
      <c r="A27" s="14" t="inlineStr">
        <is>
          <t>F40_original_language_06</t>
        </is>
      </c>
      <c r="B27" s="14" t="inlineStr">
        <is>
          <t>original_language</t>
        </is>
      </c>
      <c r="C27" s="14" t="inlineStr">
        <is>
          <t>The Seventh Seal (1957)</t>
        </is>
      </c>
      <c r="D27" s="14" t="inlineStr">
        <is>
          <t>What is the principal language of the original film The Seventh Seal (1957), excluding dubbed versions?</t>
        </is>
      </c>
      <c r="E27" s="14" t="inlineStr">
        <is>
          <t>Swedish</t>
        </is>
      </c>
      <c r="F27" s="14" t="inlineStr">
        <is>
          <t>Bengali</t>
        </is>
      </c>
      <c r="G27" s="14" t="inlineStr">
        <is>
          <t>Russian</t>
        </is>
      </c>
      <c r="H27" s="14" t="inlineStr">
        <is>
          <t>https://www.criterion.com/films/173-the-seventh-seal</t>
        </is>
      </c>
      <c r="I27" s="14" t="inlineStr">
        <is>
          <t>The distributor's Film Info language field lists Swedish. Review the original film, excluding dubbed editions.</t>
        </is>
      </c>
      <c r="J27" s="14" t="inlineStr">
        <is>
          <t>FULL_TEXT_SUPPORT</t>
        </is>
      </c>
      <c r="K27" s="25" t="n">
        <v>46315</v>
      </c>
      <c r="L27" s="14" t="str"/>
      <c r="M27" s="14" t="inlineStr">
        <is>
          <t>The Seventh Seal</t>
        </is>
      </c>
      <c r="N27" s="14" t="inlineStr">
        <is>
          <t>b625285105f19656e295</t>
        </is>
      </c>
      <c r="O27" s="14" t="inlineStr">
        <is>
          <t>urn:csra:fresh40:subject:ce2437663c82095549c8</t>
        </is>
      </c>
      <c r="P27" s="14" t="inlineStr">
        <is>
          <t>NO SUBJECT/ALIAS OR FULL UNORDERED TRIPLE MATCH FOUND</t>
        </is>
      </c>
      <c r="Q27" s="14" t="inlineStr">
        <is>
          <t>PURPOSIVE_QUALIFICATION_CANDIDATE</t>
        </is>
      </c>
    </row>
    <row r="28" ht="80" customHeight="1">
      <c r="A28" s="14" t="inlineStr">
        <is>
          <t>F40_original_language_07</t>
        </is>
      </c>
      <c r="B28" s="14" t="inlineStr">
        <is>
          <t>original_language</t>
        </is>
      </c>
      <c r="C28" s="14" t="inlineStr">
        <is>
          <t>Bicycle Thieves (1948)</t>
        </is>
      </c>
      <c r="D28" s="14" t="inlineStr">
        <is>
          <t>What is the principal language of the original film Bicycle Thieves (1948), excluding dubbed versions?</t>
        </is>
      </c>
      <c r="E28" s="14" t="inlineStr">
        <is>
          <t>Italian</t>
        </is>
      </c>
      <c r="F28" s="14" t="inlineStr">
        <is>
          <t>German</t>
        </is>
      </c>
      <c r="G28" s="14" t="inlineStr">
        <is>
          <t>Russian</t>
        </is>
      </c>
      <c r="H28" s="14" t="inlineStr">
        <is>
          <t>https://www.criterion.com/films/210-bicycle-thieves</t>
        </is>
      </c>
      <c r="I28" s="14" t="inlineStr">
        <is>
          <t>The distributor's Film Info language field lists Italian. Review the original film, excluding dubbed editions.</t>
        </is>
      </c>
      <c r="J28" s="14" t="inlineStr">
        <is>
          <t>FULL_TEXT_SUPPORT</t>
        </is>
      </c>
      <c r="K28" s="25" t="n">
        <v>46315</v>
      </c>
      <c r="L28" s="14" t="str"/>
      <c r="M28" s="14" t="inlineStr">
        <is>
          <t>Bicycle Thieves</t>
        </is>
      </c>
      <c r="N28" s="14" t="inlineStr">
        <is>
          <t>8edf26157f4cd0796ce1</t>
        </is>
      </c>
      <c r="O28" s="14" t="inlineStr">
        <is>
          <t>urn:csra:fresh40:subject:74882cda46e943ab2393</t>
        </is>
      </c>
      <c r="P28" s="14" t="inlineStr">
        <is>
          <t>NO SUBJECT/ALIAS OR FULL UNORDERED TRIPLE MATCH FOUND</t>
        </is>
      </c>
      <c r="Q28" s="14" t="inlineStr">
        <is>
          <t>PURPOSIVE_QUALIFICATION_CANDIDATE</t>
        </is>
      </c>
    </row>
    <row r="29" ht="80" customHeight="1">
      <c r="A29" s="14" t="inlineStr">
        <is>
          <t>F40_original_language_08</t>
        </is>
      </c>
      <c r="B29" s="14" t="inlineStr">
        <is>
          <t>original_language</t>
        </is>
      </c>
      <c r="C29" s="14" t="inlineStr">
        <is>
          <t>Pather Panchali (1955)</t>
        </is>
      </c>
      <c r="D29" s="14" t="inlineStr">
        <is>
          <t>What is the principal language of the original film Pather Panchali (1955), excluding dubbed versions?</t>
        </is>
      </c>
      <c r="E29" s="14" t="inlineStr">
        <is>
          <t>Bengali</t>
        </is>
      </c>
      <c r="F29" s="14" t="inlineStr">
        <is>
          <t>Russian</t>
        </is>
      </c>
      <c r="G29" s="14" t="inlineStr">
        <is>
          <t>Korean</t>
        </is>
      </c>
      <c r="H29" s="14" t="inlineStr">
        <is>
          <t>https://www.criterion.com/films/28021-pather-panchali</t>
        </is>
      </c>
      <c r="I29" s="14" t="inlineStr">
        <is>
          <t>The distributor's Film Info language field lists Bengali. Review the original film, excluding dubbed editions.</t>
        </is>
      </c>
      <c r="J29" s="14" t="inlineStr">
        <is>
          <t>FULL_TEXT_SUPPORT</t>
        </is>
      </c>
      <c r="K29" s="25" t="n">
        <v>46315</v>
      </c>
      <c r="L29" s="14" t="str"/>
      <c r="M29" s="14" t="inlineStr">
        <is>
          <t>Pather Panchali</t>
        </is>
      </c>
      <c r="N29" s="14" t="inlineStr">
        <is>
          <t>fd97e46f56c95d603902</t>
        </is>
      </c>
      <c r="O29" s="14" t="inlineStr">
        <is>
          <t>urn:csra:fresh40:subject:c44339d97a6de46fd036</t>
        </is>
      </c>
      <c r="P29" s="14" t="inlineStr">
        <is>
          <t>NO SUBJECT/ALIAS OR FULL UNORDERED TRIPLE MATCH FOUND</t>
        </is>
      </c>
      <c r="Q29" s="14" t="inlineStr">
        <is>
          <t>PURPOSIVE_QUALIFICATION_CANDIDATE</t>
        </is>
      </c>
    </row>
    <row r="30" ht="80" customHeight="1">
      <c r="A30" s="14" t="inlineStr">
        <is>
          <t>F40_original_language_09</t>
        </is>
      </c>
      <c r="B30" s="14" t="inlineStr">
        <is>
          <t>original_language</t>
        </is>
      </c>
      <c r="C30" s="14" t="inlineStr">
        <is>
          <t>Stalker (1979)</t>
        </is>
      </c>
      <c r="D30" s="14" t="inlineStr">
        <is>
          <t>What is the principal language of the original film Stalker (1979), excluding dubbed versions?</t>
        </is>
      </c>
      <c r="E30" s="14" t="inlineStr">
        <is>
          <t>Russian</t>
        </is>
      </c>
      <c r="F30" s="14" t="inlineStr">
        <is>
          <t>Spanish</t>
        </is>
      </c>
      <c r="G30" s="14" t="inlineStr">
        <is>
          <t>English</t>
        </is>
      </c>
      <c r="H30" s="14" t="inlineStr">
        <is>
          <t>https://www.criterion.com/films/28150-stalker</t>
        </is>
      </c>
      <c r="I30" s="14" t="inlineStr">
        <is>
          <t>The distributor's Film Info language field lists Russian. Review the original film, excluding dubbed editions.</t>
        </is>
      </c>
      <c r="J30" s="14" t="inlineStr">
        <is>
          <t>FULL_TEXT_SUPPORT</t>
        </is>
      </c>
      <c r="K30" s="25" t="n">
        <v>46315</v>
      </c>
      <c r="L30" s="14" t="str"/>
      <c r="M30" s="14" t="inlineStr">
        <is>
          <t>Stalker</t>
        </is>
      </c>
      <c r="N30" s="14" t="inlineStr">
        <is>
          <t>2afed74382edaa44d72a</t>
        </is>
      </c>
      <c r="O30" s="14" t="inlineStr">
        <is>
          <t>urn:csra:fresh40:subject:bbd244b15116aa3e249f</t>
        </is>
      </c>
      <c r="P30" s="14" t="inlineStr">
        <is>
          <t>NO SUBJECT/ALIAS OR FULL UNORDERED TRIPLE MATCH FOUND</t>
        </is>
      </c>
      <c r="Q30" s="14" t="inlineStr">
        <is>
          <t>PURPOSIVE_QUALIFICATION_CANDIDATE</t>
        </is>
      </c>
    </row>
    <row r="31" ht="80" customHeight="1">
      <c r="A31" s="14" t="inlineStr">
        <is>
          <t>F40_original_language_10</t>
        </is>
      </c>
      <c r="B31" s="14" t="inlineStr">
        <is>
          <t>original_language</t>
        </is>
      </c>
      <c r="C31" s="14" t="inlineStr">
        <is>
          <t>Citizen Kane (1941)</t>
        </is>
      </c>
      <c r="D31" s="14" t="inlineStr">
        <is>
          <t>What is the principal language of the original film Citizen Kane (1941), excluding dubbed versions?</t>
        </is>
      </c>
      <c r="E31" s="14" t="inlineStr">
        <is>
          <t>English</t>
        </is>
      </c>
      <c r="F31" s="14" t="inlineStr">
        <is>
          <t>Bengali</t>
        </is>
      </c>
      <c r="G31" s="14" t="inlineStr">
        <is>
          <t>Spanish</t>
        </is>
      </c>
      <c r="H31" s="14" t="inlineStr">
        <is>
          <t>https://www.criterion.com/films/32250-citizen-kane</t>
        </is>
      </c>
      <c r="I31" s="14" t="inlineStr">
        <is>
          <t>The distributor's Film Info language field lists English. Review the original film, excluding dubbed editions.</t>
        </is>
      </c>
      <c r="J31" s="14" t="inlineStr">
        <is>
          <t>FULL_TEXT_SUPPORT</t>
        </is>
      </c>
      <c r="K31" s="25" t="n">
        <v>46315</v>
      </c>
      <c r="L31" s="14" t="str"/>
      <c r="M31" s="14" t="inlineStr">
        <is>
          <t>Citizen Kane</t>
        </is>
      </c>
      <c r="N31" s="14" t="inlineStr">
        <is>
          <t>4d92b9513215879327bd</t>
        </is>
      </c>
      <c r="O31" s="14" t="inlineStr">
        <is>
          <t>urn:csra:fresh40:subject:97ef31480a902a25ad66</t>
        </is>
      </c>
      <c r="P31" s="14" t="inlineStr">
        <is>
          <t>NO SUBJECT/ALIAS OR FULL UNORDERED TRIPLE MATCH FOUND</t>
        </is>
      </c>
      <c r="Q31" s="14" t="inlineStr">
        <is>
          <t>PURPOSIVE_QUALIFICATION_CANDIDATE</t>
        </is>
      </c>
    </row>
    <row r="32" ht="80" customHeight="1">
      <c r="A32" s="14" t="inlineStr">
        <is>
          <t>F40_original_network_01</t>
        </is>
      </c>
      <c r="B32" s="14" t="inlineStr">
        <is>
          <t>original_network</t>
        </is>
      </c>
      <c r="C32" s="14" t="inlineStr">
        <is>
          <t>Breaking Bad</t>
        </is>
      </c>
      <c r="D32" s="14" t="inlineStr">
        <is>
          <t>On which television network did Breaking Bad originally air in the United States?</t>
        </is>
      </c>
      <c r="E32" s="14" t="inlineStr">
        <is>
          <t>AMC</t>
        </is>
      </c>
      <c r="F32" s="14" t="inlineStr">
        <is>
          <t>Fox</t>
        </is>
      </c>
      <c r="G32" s="14" t="inlineStr">
        <is>
          <t>ABC</t>
        </is>
      </c>
      <c r="H32" s="14" t="inlineStr">
        <is>
          <t>https://www.amcglobalmedia.com/2008/05/07/amc-renews-critically-acclaimed-original-series-breaking-bad-for-a-second-season/</t>
        </is>
      </c>
      <c r="I32" s="14" t="inlineStr">
        <is>
          <t>Contemporaneous renewal release explicitly states season one premiered on AMC in January 2008.</t>
        </is>
      </c>
      <c r="J32" s="14" t="inlineStr">
        <is>
          <t>FULL_TEXT_SUPPORT</t>
        </is>
      </c>
      <c r="K32" s="25" t="n">
        <v>46315</v>
      </c>
      <c r="L32" s="14" t="str"/>
      <c r="M32" s="14" t="str"/>
      <c r="N32" s="14" t="inlineStr">
        <is>
          <t>e8c4d2ef090f5d4583c1</t>
        </is>
      </c>
      <c r="O32" s="14" t="inlineStr">
        <is>
          <t>urn:csra:fresh40:subject:eccbfe16a2d49aac6450</t>
        </is>
      </c>
      <c r="P32" s="14" t="inlineStr">
        <is>
          <t>NO SUBJECT/ALIAS OR FULL UNORDERED TRIPLE MATCH FOUND</t>
        </is>
      </c>
      <c r="Q32" s="14" t="inlineStr">
        <is>
          <t>PURPOSIVE_QUALIFICATION_CANDIDATE</t>
        </is>
      </c>
    </row>
    <row r="33" ht="80" customHeight="1">
      <c r="A33" s="14" t="inlineStr">
        <is>
          <t>F40_original_network_02</t>
        </is>
      </c>
      <c r="B33" s="14" t="inlineStr">
        <is>
          <t>original_network</t>
        </is>
      </c>
      <c r="C33" s="14" t="inlineStr">
        <is>
          <t>Mad Men</t>
        </is>
      </c>
      <c r="D33" s="14" t="inlineStr">
        <is>
          <t>On which television network did Mad Men originally air in the United States?</t>
        </is>
      </c>
      <c r="E33" s="14" t="inlineStr">
        <is>
          <t>AMC</t>
        </is>
      </c>
      <c r="F33" s="14" t="inlineStr">
        <is>
          <t>Fox</t>
        </is>
      </c>
      <c r="G33" s="14" t="inlineStr">
        <is>
          <t>CBS</t>
        </is>
      </c>
      <c r="H33" s="14" t="inlineStr">
        <is>
          <t>https://www.amcglobalmedia.com/2008/09/21/emmys-go-mad-and-bad-for-amc/</t>
        </is>
      </c>
      <c r="I33" s="14" t="inlineStr">
        <is>
          <t>The 2008 release explicitly says Mad Men debuted on AMC in July 2007.</t>
        </is>
      </c>
      <c r="J33" s="14" t="inlineStr">
        <is>
          <t>FULL_TEXT_SUPPORT</t>
        </is>
      </c>
      <c r="K33" s="25" t="n">
        <v>46315</v>
      </c>
      <c r="L33" s="14" t="str"/>
      <c r="M33" s="14" t="str"/>
      <c r="N33" s="14" t="inlineStr">
        <is>
          <t>5f5b80bf254a66ebf6b0</t>
        </is>
      </c>
      <c r="O33" s="14" t="inlineStr">
        <is>
          <t>urn:csra:fresh40:subject:dcb8883f0de313124ba0</t>
        </is>
      </c>
      <c r="P33" s="14" t="inlineStr">
        <is>
          <t>NO SUBJECT/ALIAS OR FULL UNORDERED TRIPLE MATCH FOUND</t>
        </is>
      </c>
      <c r="Q33" s="14" t="inlineStr">
        <is>
          <t>PURPOSIVE_QUALIFICATION_CANDIDATE</t>
        </is>
      </c>
    </row>
    <row r="34" ht="80" customHeight="1">
      <c r="A34" s="14" t="inlineStr">
        <is>
          <t>F40_original_network_03</t>
        </is>
      </c>
      <c r="B34" s="14" t="inlineStr">
        <is>
          <t>original_network</t>
        </is>
      </c>
      <c r="C34" s="14" t="inlineStr">
        <is>
          <t>The Walking Dead (2010 television series)</t>
        </is>
      </c>
      <c r="D34" s="14" t="inlineStr">
        <is>
          <t>On which television network did The Walking Dead (2010 television series) originally air in the United States?</t>
        </is>
      </c>
      <c r="E34" s="14" t="inlineStr">
        <is>
          <t>AMC</t>
        </is>
      </c>
      <c r="F34" s="14" t="inlineStr">
        <is>
          <t>HBO</t>
        </is>
      </c>
      <c r="G34" s="14" t="inlineStr">
        <is>
          <t>Starz</t>
        </is>
      </c>
      <c r="H34" s="14" t="inlineStr">
        <is>
          <t>https://www.amcglobalmedia.com/2010/11/08/amc-resurrects-the-walking-dead-for-a-second-season/</t>
        </is>
      </c>
      <c r="I34" s="14" t="inlineStr">
        <is>
          <t>Contemporaneous release identifies the original episode-one broadcast on AMC. International Fox broadcasts are outside the US question.</t>
        </is>
      </c>
      <c r="J34" s="14" t="inlineStr">
        <is>
          <t>FULL_TEXT_SUPPORT</t>
        </is>
      </c>
      <c r="K34" s="25" t="n">
        <v>46315</v>
      </c>
      <c r="L34" s="14" t="str"/>
      <c r="M34" s="14" t="inlineStr">
        <is>
          <t>The Walking Dead</t>
        </is>
      </c>
      <c r="N34" s="14" t="inlineStr">
        <is>
          <t>1ec025e6c957b44b2202</t>
        </is>
      </c>
      <c r="O34" s="14" t="inlineStr">
        <is>
          <t>urn:csra:fresh40:subject:1b3697e018e7cb582eb3</t>
        </is>
      </c>
      <c r="P34" s="14" t="inlineStr">
        <is>
          <t>NO SUBJECT/ALIAS OR FULL UNORDERED TRIPLE MATCH FOUND</t>
        </is>
      </c>
      <c r="Q34" s="14" t="inlineStr">
        <is>
          <t>PURPOSIVE_QUALIFICATION_CANDIDATE</t>
        </is>
      </c>
    </row>
    <row r="35" ht="80" customHeight="1">
      <c r="A35" s="14" t="inlineStr">
        <is>
          <t>F40_original_network_04</t>
        </is>
      </c>
      <c r="B35" s="14" t="inlineStr">
        <is>
          <t>original_network</t>
        </is>
      </c>
      <c r="C35" s="14" t="inlineStr">
        <is>
          <t>The Sopranos</t>
        </is>
      </c>
      <c r="D35" s="14" t="inlineStr">
        <is>
          <t>On which television network did The Sopranos originally air in the United States?</t>
        </is>
      </c>
      <c r="E35" s="14" t="inlineStr">
        <is>
          <t>HBO</t>
        </is>
      </c>
      <c r="F35" s="14" t="inlineStr">
        <is>
          <t>AMC</t>
        </is>
      </c>
      <c r="G35" s="14" t="inlineStr">
        <is>
          <t>CBS</t>
        </is>
      </c>
      <c r="H35" s="14" t="inlineStr">
        <is>
          <t>https://www.hbo.com/series</t>
        </is>
      </c>
      <c r="I35" s="14" t="inlineStr">
        <is>
          <t>HBO's original-series catalogue includes The Sopranos. Dedicated 1999 show page was indexed but blocked during full retrieval. Corroborate original US broadcaster rather than current streaming availability.</t>
        </is>
      </c>
      <c r="J35" s="14" t="inlineStr">
        <is>
          <t>CATALOG_SUPPORT_CHECK_ORIGINAL_RUN</t>
        </is>
      </c>
      <c r="K35" s="25" t="n">
        <v>46315</v>
      </c>
      <c r="L35" s="14" t="inlineStr">
        <is>
          <t>https://www.hbo.com/the-sopranos</t>
        </is>
      </c>
      <c r="M35" s="14" t="str"/>
      <c r="N35" s="14" t="inlineStr">
        <is>
          <t>5592298a5edeb9e0be15</t>
        </is>
      </c>
      <c r="O35" s="14" t="inlineStr">
        <is>
          <t>urn:csra:fresh40:subject:1ebdb23d3aa31ff63d5d</t>
        </is>
      </c>
      <c r="P35" s="14" t="inlineStr">
        <is>
          <t>NO SUBJECT/ALIAS OR FULL UNORDERED TRIPLE MATCH FOUND</t>
        </is>
      </c>
      <c r="Q35" s="14" t="inlineStr">
        <is>
          <t>PURPOSIVE_QUALIFICATION_CANDIDATE</t>
        </is>
      </c>
    </row>
    <row r="36" ht="80" customHeight="1">
      <c r="A36" s="14" t="inlineStr">
        <is>
          <t>F40_original_network_05</t>
        </is>
      </c>
      <c r="B36" s="14" t="inlineStr">
        <is>
          <t>original_network</t>
        </is>
      </c>
      <c r="C36" s="14" t="inlineStr">
        <is>
          <t>The Wire</t>
        </is>
      </c>
      <c r="D36" s="14" t="inlineStr">
        <is>
          <t>On which television network did The Wire originally air in the United States?</t>
        </is>
      </c>
      <c r="E36" s="14" t="inlineStr">
        <is>
          <t>HBO</t>
        </is>
      </c>
      <c r="F36" s="14" t="inlineStr">
        <is>
          <t>Showtime</t>
        </is>
      </c>
      <c r="G36" s="14" t="inlineStr">
        <is>
          <t>CBS</t>
        </is>
      </c>
      <c r="H36" s="14" t="inlineStr">
        <is>
          <t>https://www.hbo.com/series</t>
        </is>
      </c>
      <c r="I36" s="14" t="inlineStr">
        <is>
          <t>HBO's original-series catalogue includes The Wire. Dedicated 2002 show page was indexed but blocked during full retrieval. Corroborate original US broadcaster rather than current streaming availability.</t>
        </is>
      </c>
      <c r="J36" s="14" t="inlineStr">
        <is>
          <t>CATALOG_SUPPORT_CHECK_ORIGINAL_RUN</t>
        </is>
      </c>
      <c r="K36" s="25" t="n">
        <v>46315</v>
      </c>
      <c r="L36" s="14" t="inlineStr">
        <is>
          <t>https://www.hbo.com/the-wire</t>
        </is>
      </c>
      <c r="M36" s="14" t="str"/>
      <c r="N36" s="14" t="inlineStr">
        <is>
          <t>093b250630e60d97d006</t>
        </is>
      </c>
      <c r="O36" s="14" t="inlineStr">
        <is>
          <t>urn:csra:fresh40:subject:2da82ec20f880f6f9983</t>
        </is>
      </c>
      <c r="P36" s="14" t="inlineStr">
        <is>
          <t>NO SUBJECT/ALIAS OR FULL UNORDERED TRIPLE MATCH FOUND</t>
        </is>
      </c>
      <c r="Q36" s="14" t="inlineStr">
        <is>
          <t>PURPOSIVE_QUALIFICATION_CANDIDATE</t>
        </is>
      </c>
    </row>
    <row r="37" ht="80" customHeight="1">
      <c r="A37" s="14" t="inlineStr">
        <is>
          <t>F40_original_network_06</t>
        </is>
      </c>
      <c r="B37" s="14" t="inlineStr">
        <is>
          <t>original_network</t>
        </is>
      </c>
      <c r="C37" s="14" t="inlineStr">
        <is>
          <t>Friends</t>
        </is>
      </c>
      <c r="D37" s="14" t="inlineStr">
        <is>
          <t>On which television network did Friends originally air in the United States?</t>
        </is>
      </c>
      <c r="E37" s="14" t="inlineStr">
        <is>
          <t>NBC</t>
        </is>
      </c>
      <c r="F37" s="14" t="inlineStr">
        <is>
          <t>FX</t>
        </is>
      </c>
      <c r="G37" s="14" t="inlineStr">
        <is>
          <t>CBS</t>
        </is>
      </c>
      <c r="H37" s="14" t="inlineStr">
        <is>
          <t>https://www.nbcuniversal.com/history/1990</t>
        </is>
      </c>
      <c r="I37" s="14" t="inlineStr">
        <is>
          <t>The official 1994 timeline entry explicitly identifies the series premiere on NBC.</t>
        </is>
      </c>
      <c r="J37" s="14" t="inlineStr">
        <is>
          <t>FULL_TEXT_SUPPORT</t>
        </is>
      </c>
      <c r="K37" s="25" t="n">
        <v>46315</v>
      </c>
      <c r="L37" s="14" t="str"/>
      <c r="M37" s="14" t="str"/>
      <c r="N37" s="14" t="inlineStr">
        <is>
          <t>0f82e15306f8cc17aaa0</t>
        </is>
      </c>
      <c r="O37" s="14" t="inlineStr">
        <is>
          <t>urn:csra:fresh40:subject:2e4b9cc2428beb7bff6a</t>
        </is>
      </c>
      <c r="P37" s="14" t="inlineStr">
        <is>
          <t>NO SUBJECT/ALIAS OR FULL UNORDERED TRIPLE MATCH FOUND</t>
        </is>
      </c>
      <c r="Q37" s="14" t="inlineStr">
        <is>
          <t>PURPOSIVE_QUALIFICATION_CANDIDATE</t>
        </is>
      </c>
    </row>
    <row r="38" ht="80" customHeight="1">
      <c r="A38" s="14" t="inlineStr">
        <is>
          <t>F40_original_network_07</t>
        </is>
      </c>
      <c r="B38" s="14" t="inlineStr">
        <is>
          <t>original_network</t>
        </is>
      </c>
      <c r="C38" s="14" t="inlineStr">
        <is>
          <t>Seinfeld</t>
        </is>
      </c>
      <c r="D38" s="14" t="inlineStr">
        <is>
          <t>On which television network did Seinfeld originally air in the United States?</t>
        </is>
      </c>
      <c r="E38" s="14" t="inlineStr">
        <is>
          <t>NBC</t>
        </is>
      </c>
      <c r="F38" s="14" t="inlineStr">
        <is>
          <t>Showtime</t>
        </is>
      </c>
      <c r="G38" s="14" t="inlineStr">
        <is>
          <t>HBO</t>
        </is>
      </c>
      <c r="H38" s="14" t="inlineStr">
        <is>
          <t>https://www.nbcuniversal.com/history/1980</t>
        </is>
      </c>
      <c r="I38" s="14" t="inlineStr">
        <is>
          <t>The official 1989 timeline labels the debut of NBC's Seinfeld pilot, The Seinfeld Chronicles.</t>
        </is>
      </c>
      <c r="J38" s="14" t="inlineStr">
        <is>
          <t>FULL_TEXT_SUPPORT</t>
        </is>
      </c>
      <c r="K38" s="25" t="n">
        <v>46315</v>
      </c>
      <c r="L38" s="14" t="str"/>
      <c r="M38" s="14" t="inlineStr">
        <is>
          <t>The Seinfeld Chronicles</t>
        </is>
      </c>
      <c r="N38" s="14" t="inlineStr">
        <is>
          <t>8213947b0e9f44b9f5c8</t>
        </is>
      </c>
      <c r="O38" s="14" t="inlineStr">
        <is>
          <t>urn:csra:fresh40:subject:0c957e9f09a2444a8868</t>
        </is>
      </c>
      <c r="P38" s="14" t="inlineStr">
        <is>
          <t>NO SUBJECT/ALIAS OR FULL UNORDERED TRIPLE MATCH FOUND</t>
        </is>
      </c>
      <c r="Q38" s="14" t="inlineStr">
        <is>
          <t>PURPOSIVE_QUALIFICATION_CANDIDATE</t>
        </is>
      </c>
    </row>
    <row r="39" ht="80" customHeight="1">
      <c r="A39" s="14" t="inlineStr">
        <is>
          <t>F40_original_network_08</t>
        </is>
      </c>
      <c r="B39" s="14" t="inlineStr">
        <is>
          <t>original_network</t>
        </is>
      </c>
      <c r="C39" s="14" t="inlineStr">
        <is>
          <t>The Office (US television series)</t>
        </is>
      </c>
      <c r="D39" s="14" t="inlineStr">
        <is>
          <t>On which television network did The Office (US television series) originally air in the United States?</t>
        </is>
      </c>
      <c r="E39" s="14" t="inlineStr">
        <is>
          <t>NBC</t>
        </is>
      </c>
      <c r="F39" s="14" t="inlineStr">
        <is>
          <t>Fox</t>
        </is>
      </c>
      <c r="G39" s="14" t="inlineStr">
        <is>
          <t>Showtime</t>
        </is>
      </c>
      <c r="H39" s="14" t="inlineStr">
        <is>
          <t>https://www.nbcuniversal.com/article/celebrating-20-years-office</t>
        </is>
      </c>
      <c r="I39" s="14" t="inlineStr">
        <is>
          <t>The anniversary article identifies the 2005 US premiere and original NBC run. The UK original is a different series.</t>
        </is>
      </c>
      <c r="J39" s="14" t="inlineStr">
        <is>
          <t>FULL_TEXT_SUPPORT</t>
        </is>
      </c>
      <c r="K39" s="25" t="n">
        <v>46315</v>
      </c>
      <c r="L39" s="14" t="str"/>
      <c r="M39" s="14" t="inlineStr">
        <is>
          <t>The Office US; The Office (American TV series)</t>
        </is>
      </c>
      <c r="N39" s="14" t="inlineStr">
        <is>
          <t>a7ca099ada9015f80fa4</t>
        </is>
      </c>
      <c r="O39" s="14" t="inlineStr">
        <is>
          <t>urn:csra:fresh40:subject:c25b34a532e4a725f6f4</t>
        </is>
      </c>
      <c r="P39" s="14" t="inlineStr">
        <is>
          <t>NO SUBJECT/ALIAS OR FULL UNORDERED TRIPLE MATCH FOUND</t>
        </is>
      </c>
      <c r="Q39" s="14" t="inlineStr">
        <is>
          <t>PURPOSIVE_QUALIFICATION_CANDIDATE</t>
        </is>
      </c>
    </row>
    <row r="40" ht="80" customHeight="1">
      <c r="A40" s="14" t="inlineStr">
        <is>
          <t>F40_original_network_09</t>
        </is>
      </c>
      <c r="B40" s="14" t="inlineStr">
        <is>
          <t>original_network</t>
        </is>
      </c>
      <c r="C40" s="14" t="inlineStr">
        <is>
          <t>The Big Bang Theory</t>
        </is>
      </c>
      <c r="D40" s="14" t="inlineStr">
        <is>
          <t>On which television network did The Big Bang Theory originally air in the United States?</t>
        </is>
      </c>
      <c r="E40" s="14" t="inlineStr">
        <is>
          <t>CBS</t>
        </is>
      </c>
      <c r="F40" s="14" t="inlineStr">
        <is>
          <t>ABC</t>
        </is>
      </c>
      <c r="G40" s="14" t="inlineStr">
        <is>
          <t>FX</t>
        </is>
      </c>
      <c r="H40" s="14" t="inlineStr">
        <is>
          <t>https://www.paramountpressexpress.com/cbs-entertainment/releases/?view=15924</t>
        </is>
      </c>
      <c r="I40" s="14" t="inlineStr">
        <is>
          <t>The original 2007-2008 CBS schedule announces this as a new series; the later official retrospective confirms the 2007 CBS run.</t>
        </is>
      </c>
      <c r="J40" s="14" t="inlineStr">
        <is>
          <t>FULL_TEXT_SUPPORT</t>
        </is>
      </c>
      <c r="K40" s="25" t="n">
        <v>46315</v>
      </c>
      <c r="L40" s="14" t="inlineStr">
        <is>
          <t>https://www.paramountpressexpress.com/nickelodeon/shows/nick-at-nite/releases/?view=110772-paramount-adds-the-big-bang-theory-to-nick-at-nite-and-mtv-lineups</t>
        </is>
      </c>
      <c r="M40" s="14" t="str"/>
      <c r="N40" s="14" t="inlineStr">
        <is>
          <t>3579e985c119a5931762</t>
        </is>
      </c>
      <c r="O40" s="14" t="inlineStr">
        <is>
          <t>urn:csra:fresh40:subject:b13f36d3fdfce8f67047</t>
        </is>
      </c>
      <c r="P40" s="14" t="inlineStr">
        <is>
          <t>NO SUBJECT/ALIAS OR FULL UNORDERED TRIPLE MATCH FOUND</t>
        </is>
      </c>
      <c r="Q40" s="14" t="inlineStr">
        <is>
          <t>PURPOSIVE_QUALIFICATION_CANDIDATE</t>
        </is>
      </c>
    </row>
    <row r="41" ht="80" customHeight="1">
      <c r="A41" s="14" t="inlineStr">
        <is>
          <t>F40_original_network_10</t>
        </is>
      </c>
      <c r="B41" s="14" t="inlineStr">
        <is>
          <t>original_network</t>
        </is>
      </c>
      <c r="C41" s="14" t="inlineStr">
        <is>
          <t>The Good Wife</t>
        </is>
      </c>
      <c r="D41" s="14" t="inlineStr">
        <is>
          <t>On which television network did The Good Wife originally air in the United States?</t>
        </is>
      </c>
      <c r="E41" s="14" t="inlineStr">
        <is>
          <t>CBS</t>
        </is>
      </c>
      <c r="F41" s="14" t="inlineStr">
        <is>
          <t>HBO</t>
        </is>
      </c>
      <c r="G41" s="14" t="inlineStr">
        <is>
          <t>Starz</t>
        </is>
      </c>
      <c r="H41" s="14" t="inlineStr">
        <is>
          <t>https://www.paramountpressexpress.com/cbs-entertainment/releases/?view=22957</t>
        </is>
      </c>
      <c r="I41" s="14" t="inlineStr">
        <is>
          <t>The October 2009 CBS release identifies this as a new series in its premiere weeks and explicitly lists CBS as its broadcaster.</t>
        </is>
      </c>
      <c r="J41" s="14" t="inlineStr">
        <is>
          <t>FULL_TEXT_SUPPORT</t>
        </is>
      </c>
      <c r="K41" s="25" t="n">
        <v>46315</v>
      </c>
      <c r="L41" s="14" t="inlineStr">
        <is>
          <t>https://www.paramountpressexpress.com/cbs-entertainment/releases/?view=21839</t>
        </is>
      </c>
      <c r="M41" s="14" t="str"/>
      <c r="N41" s="14" t="inlineStr">
        <is>
          <t>1a112cda1392dd5a80d2</t>
        </is>
      </c>
      <c r="O41" s="14" t="inlineStr">
        <is>
          <t>urn:csra:fresh40:subject:6a3b68a6b68655bc3e49</t>
        </is>
      </c>
      <c r="P41" s="14" t="inlineStr">
        <is>
          <t>NO SUBJECT/ALIAS OR FULL UNORDERED TRIPLE MATCH FOUND</t>
        </is>
      </c>
      <c r="Q41" s="14" t="inlineStr">
        <is>
          <t>PURPOSIVE_QUALIFICATION_CANDIDATE</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22"/>
  <sheetViews>
    <sheetView showGridLines="0" workbookViewId="0">
      <selection activeCell="A1" sqref="A1"/>
    </sheetView>
  </sheetViews>
  <sheetFormatPr baseColWidth="8" defaultRowHeight="15"/>
  <cols>
    <col width="28" customWidth="1" min="1" max="1"/>
    <col width="116" customWidth="1" min="2" max="2"/>
  </cols>
  <sheetData>
    <row r="1">
      <c r="A1" s="1" t="n"/>
      <c r="B1" s="1" t="n"/>
    </row>
    <row r="2" ht="28" customHeight="1">
      <c r="A2" s="20" t="inlineStr">
        <is>
          <t>How to review the candidate facts</t>
        </is>
      </c>
      <c r="B2" s="1" t="n"/>
    </row>
    <row r="3">
      <c r="A3" s="1" t="n"/>
      <c r="B3" s="1" t="n"/>
    </row>
    <row r="4" ht="66" customHeight="1">
      <c r="A4" s="23" t="inlineStr">
        <is>
          <t>Purpose</t>
        </is>
      </c>
      <c r="B4" s="14" t="inlineStr">
        <is>
          <t>Forty candidates for a prospective development qualification: ten software-developer facts, ten founding-location facts, ten original-film-language facts and ten first-US-network facts. This is not a final population sample or a Colab execution package.</t>
        </is>
      </c>
    </row>
    <row r="5" ht="66" customHeight="1">
      <c r="A5" s="23" t="inlineStr">
        <is>
          <t>Your next action</t>
        </is>
      </c>
      <c r="B5" s="14" t="inlineStr">
        <is>
          <t>On Review, check the exact question and source (copy its URL into a browser), confirm P and that C/I are false for that question, then choose APPROVE, REVISE or REJECT. Enter your actual name and a real Excel date. Explain corrections or missing evidence in Notes. Return the workbook after review.</t>
        </is>
      </c>
    </row>
    <row r="6" ht="66" customHeight="1">
      <c r="A6" s="23" t="inlineStr">
        <is>
          <t>What APPROVE means</t>
        </is>
      </c>
      <c r="B6" s="14" t="inlineStr">
        <is>
          <t>The fact and alternatives are suitable for the qualification test. It does not approve a journal claim or certify novelty. No approval is prefilled. The workbook counts a row as REVIEWED only after APPROVE plus a reviewer name and numeric date.</t>
        </is>
      </c>
    </row>
    <row r="7" ht="66" customHeight="1">
      <c r="A7" s="23" t="inlineStr">
        <is>
          <t>Actual reviewers</t>
        </is>
      </c>
      <c r="B7" s="14" t="inlineStr">
        <is>
          <t>Only actual review work may be reported. One documented author review can be recorded for this development screen. If another reviewer also checks a row, name them and record their separate decision/date in Notes. Do not describe author-only checking as independent agreement. Resolve all disagreements before the protocol freeze.</t>
        </is>
      </c>
    </row>
    <row r="8" ht="66" customHeight="1">
      <c r="A8" s="23" t="inlineStr">
        <is>
          <t>Two origin checks</t>
        </is>
      </c>
      <c r="B8" s="14" t="inlineStr">
        <is>
          <t>The Sopranos and The Wire have catalogue support from HBO. Their individual series pages were indexed but not fully retrievable during this check. Confirm the original US broadcaster with a dated primary record or another suitable authoritative source before approval. Secondary links appear in Facts.</t>
        </is>
      </c>
    </row>
    <row r="9" ht="66" customHeight="1">
      <c r="A9" s="23" t="inlineStr">
        <is>
          <t>Other close checks</t>
        </is>
      </c>
      <c r="B9" s="14" t="inlineStr">
        <is>
          <t>For M (1931), exclude the separate English-language version. For curl, distinguish the curl project from the earlier HttpGet lineage. For Git/scikit-learn/pandas, the question concerns the person who initiated development. For Sony and Onitsuka, keep the stated predecessor/year. For The Office, use the American version.</t>
        </is>
      </c>
    </row>
    <row r="10" ht="66" customHeight="1">
      <c r="A10" s="23" t="inlineStr">
        <is>
          <t>Correcting a record</t>
        </is>
      </c>
      <c r="B10" s="14" t="inlineStr">
        <is>
          <t>Put proposed corrections and a supporting URL in Review Notes. Keep the source snapshot in Facts intact until the correction is applied deliberately. If a fact, question or answer changes, its review and overlap checks must be repeated before any run.</t>
        </is>
      </c>
    </row>
    <row r="11" ht="86" customHeight="1">
      <c r="A11" s="23" t="inlineStr">
        <is>
          <t>Selection</t>
        </is>
      </c>
      <c r="B11" s="14" t="inlineStr">
        <is>
          <t>These are purposively chosen, recognisable facts with available primary or distributor sources. Software and companies dominate the first two relations; films and US programmes dominate the others. This differs from the historical convenience sample. Fresh performance will measure transfer to this qualification set, not universal generalisation. No items were selected using fresh model responses.</t>
        </is>
      </c>
    </row>
    <row r="12" ht="86" customHeight="1">
      <c r="A12" s="23" t="inlineStr">
        <is>
          <t>Alternative construction</t>
        </is>
      </c>
      <c r="B12" s="14" t="inlineStr">
        <is>
          <t>Within each relation, C and I were selected from an explicit pool of other answer entities using SHA256 order with seed 20261020. Full unordered answer triples already in old100 or another new candidate were skipped. This is outcome-blind collision avoidance, not random representative sampling. Human reviewers still assess whether alternatives are false, well-typed and plausible.</t>
        </is>
      </c>
    </row>
    <row r="13" ht="66" customHeight="1">
      <c r="A13" s="23" t="inlineStr">
        <is>
          <t>Overlap result</t>
        </is>
      </c>
      <c r="B13" s="14" t="inlineStr">
        <is>
          <t>The machine screen found 40 distinct normalised subjects and 40 distinct full unordered answer triples. None matched the old100 subjects/declared aliases or full unordered triples. Individual answer names and broad topics can recur. This does not establish complete semantic or statistical independence.</t>
        </is>
      </c>
    </row>
    <row r="14" ht="66" customHeight="1">
      <c r="A14" s="23" t="inlineStr">
        <is>
          <t>Identifiers</t>
        </is>
      </c>
      <c r="B14" s="14" t="inlineStr">
        <is>
          <t>Facts uses newly created internal URNs for subject IDs, not asserted Wikidata identifiers. An explicit name/alias check was applied separately. Entity resolution against older corpora should retain both names and external identifiers when available.</t>
        </is>
      </c>
    </row>
    <row r="15" ht="66" customHeight="1">
      <c r="A15" s="23" t="inlineStr">
        <is>
          <t>Historical input SHA256</t>
        </is>
      </c>
      <c r="B15" s="14" t="inlineStr">
        <is>
          <t>26f06e2e5130de6a1af8e048a076789b3d964f35015f59e3ad9c1067fb1c313e</t>
        </is>
      </c>
    </row>
    <row r="16" ht="66" customHeight="1">
      <c r="A16" s="23" t="inlineStr">
        <is>
          <t>Source retrieval date</t>
        </is>
      </c>
      <c r="B16" s="14" t="inlineStr">
        <is>
          <t>20 October 2026. Source notes are paraphrases. There are 38 rows with direct full-text support and two catalogue-supported broadcaster rows flagged for additional origin checking. AI source checks are distinct from human review.</t>
        </is>
      </c>
    </row>
    <row r="17" ht="66" customHeight="1">
      <c r="A17" s="23" t="inlineStr">
        <is>
          <t>Scientific outcomes</t>
        </is>
      </c>
      <c r="B17" s="14" t="inlineStr">
        <is>
          <t>No fresh model outcomes were collected and no GPU inference was run to construct this candidate set. P is the factual reference, not a claim that a language model already knows the answer. C and I are deliberately false alternative answers.</t>
        </is>
      </c>
    </row>
    <row r="18" ht="66" customHeight="1">
      <c r="A18" s="23" t="inlineStr">
        <is>
          <t>After factual review</t>
        </is>
      </c>
      <c r="B18" s="14" t="inlineStr">
        <is>
          <t>Resolve revisions, rebuild the candidate-aware development representations, fit and freeze the predictors on old100, and issue a new validated Fresh40 runner. Keep Mistral held out as a target. Do not alter the historical package lock or run these candidates through its old100-only runner.</t>
        </is>
      </c>
    </row>
    <row r="19" ht="66" customHeight="1">
      <c r="A19" s="23" t="inlineStr">
        <is>
          <t>Budget context</t>
        </is>
      </c>
      <c r="B19" s="14" t="inlineStr">
        <is>
          <t>The proposed unchanged collection layout totals 17,280 logical scoring jobs. The earlier model/phase-weighted 512-token estimate was 1.16 A100 scoring hours, excluding setup, encoding, review and retries. A two-hour initial allocation is a planning allowance, not a runtime guarantee.</t>
        </is>
      </c>
    </row>
    <row r="20" ht="66" customHeight="1">
      <c r="A20" s="23" t="inlineStr">
        <is>
          <t>Confirmation boundary</t>
        </is>
      </c>
      <c r="B20" s="14" t="inlineStr">
        <is>
          <t>Fresh40 becomes development after its results are inspected. Exclude it from the later confirmatory set. Recalibrate that study for the revised estimands; the earlier Ridge N=400 calculation is not a precision guarantee for this new comparison.</t>
        </is>
      </c>
    </row>
    <row r="21" ht="66" customHeight="1">
      <c r="A21" s="23" t="inlineStr">
        <is>
          <t>Method</t>
        </is>
      </c>
      <c r="B21" s="14" t="inlineStr">
        <is>
          <t>The principal-language and original-developer wording clarify version/contributor scope. Review the relation-specific document templates before freezing so that the source intervention answers the same question. These wordings are draft, not retrospectively preregistered.</t>
        </is>
      </c>
    </row>
    <row r="22">
      <c r="A22" s="1" t="n"/>
      <c r="B22" s="1" t="n"/>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2026-10-20T18:20:03Z</dcterms:created>
  <dcterms:modified xmlns:dcterms="http://purl.org/dc/terms/" xmlns:xsi="http://www.w3.org/2001/XMLSchema-instance" xsi:type="dcterms:W3CDTF">2026-10-20T18:20:03Z</dcterms:modified>
</cp:coreProperties>
</file>